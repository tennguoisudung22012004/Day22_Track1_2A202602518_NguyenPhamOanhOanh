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_README" sheetId="1" state="visible" r:id="rId1"/>
    <sheet xmlns:r="http://schemas.openxmlformats.org/officeDocument/2006/relationships" name="1_Cost_Job" sheetId="2" state="visible" r:id="rId2"/>
    <sheet xmlns:r="http://schemas.openxmlformats.org/officeDocument/2006/relationships" name="2_Pricing" sheetId="3" state="visible" r:id="rId3"/>
    <sheet xmlns:r="http://schemas.openxmlformats.org/officeDocument/2006/relationships" name="3_Value_Metric" sheetId="4" state="visible" r:id="rId4"/>
    <sheet xmlns:r="http://schemas.openxmlformats.org/officeDocument/2006/relationships" name="4_Channel_Fit" sheetId="5" state="visible" r:id="rId5"/>
    <sheet xmlns:r="http://schemas.openxmlformats.org/officeDocument/2006/relationships" name="5_90Day_Plan" sheetId="6" state="visible" r:id="rId6"/>
    <sheet xmlns:r="http://schemas.openxmlformats.org/officeDocument/2006/relationships" name="6_Benchmarks" sheetId="7" state="visible" r:id="rId7"/>
  </sheets>
  <definedNames/>
  <calcPr calcId="124519" fullCalcOnLoad="1"/>
</workbook>
</file>

<file path=xl/styles.xml><?xml version="1.0" encoding="utf-8"?>
<styleSheet xmlns="http://schemas.openxmlformats.org/spreadsheetml/2006/main">
  <numFmts count="7">
    <numFmt numFmtId="164" formatCode="0.0%"/>
    <numFmt numFmtId="165" formatCode="\$#,##0.0000"/>
    <numFmt numFmtId="166" formatCode="#,##0.0"/>
    <numFmt numFmtId="167" formatCode="\$#,##0.00"/>
    <numFmt numFmtId="168" formatCode="\$#,##0"/>
    <numFmt numFmtId="169" formatCode="#,##0.0\×"/>
    <numFmt numFmtId="170" formatCode="#,##0&quot; ₫&quot;"/>
  </numFmts>
  <fonts count="11">
    <font>
      <name val="Calibri"/>
      <color theme="1"/>
      <sz val="11"/>
      <scheme val="minor"/>
    </font>
    <font>
      <name val="Arial"/>
      <b val="1"/>
      <color rgb="FFFFFFFF"/>
      <sz val="14"/>
    </font>
    <font>
      <name val="Calibri"/>
      <color theme="1"/>
      <sz val="11"/>
    </font>
    <font>
      <name val="Arial"/>
      <i val="1"/>
      <color rgb="FF666666"/>
      <sz val="9"/>
    </font>
    <font>
      <name val="Arial"/>
      <b val="1"/>
      <color rgb="FF1F2937"/>
      <sz val="11"/>
    </font>
    <font>
      <name val="Arial"/>
      <color rgb="FF0000FF"/>
      <sz val="10"/>
    </font>
    <font>
      <name val="Arial"/>
      <color theme="1"/>
      <sz val="10"/>
    </font>
    <font>
      <name val="Arial"/>
      <color rgb="FF008000"/>
      <sz val="10"/>
    </font>
    <font>
      <name val="Arial"/>
      <b val="1"/>
      <color theme="1"/>
      <sz val="10"/>
    </font>
    <font>
      <name val="Arial"/>
      <b val="1"/>
      <color rgb="FFC00000"/>
      <sz val="11"/>
    </font>
    <font>
      <name val="Arial"/>
      <b val="1"/>
      <color rgb="FFFFFFFF"/>
      <sz val="10"/>
    </font>
  </fonts>
  <fills count="7">
    <fill>
      <patternFill/>
    </fill>
    <fill>
      <patternFill patternType="lightGray"/>
    </fill>
    <fill>
      <patternFill patternType="solid">
        <fgColor rgb="FF1F2937"/>
        <bgColor rgb="FF1F2937"/>
      </patternFill>
    </fill>
    <fill>
      <patternFill patternType="solid">
        <fgColor rgb="FFFFF2CC"/>
        <bgColor rgb="FFFFF2CC"/>
      </patternFill>
    </fill>
    <fill>
      <patternFill patternType="solid">
        <fgColor rgb="FFE8EAF6"/>
        <bgColor rgb="FFE8EAF6"/>
      </patternFill>
    </fill>
    <fill>
      <patternFill patternType="solid">
        <fgColor rgb="FFF2F2F2"/>
        <bgColor rgb="FFF2F2F2"/>
      </patternFill>
    </fill>
    <fill>
      <patternFill patternType="solid">
        <fgColor rgb="FFEDEDED"/>
        <bgColor rgb="FFEDEDED"/>
      </patternFill>
    </fill>
  </fills>
  <borders count="3">
    <border/>
    <border>
      <left/>
      <right/>
      <top/>
      <bottom/>
    </border>
    <border>
      <left style="thin">
        <color rgb="FFD0D0D0"/>
      </left>
      <right style="thin">
        <color rgb="FFD0D0D0"/>
      </right>
      <top style="thin">
        <color rgb="FFD0D0D0"/>
      </top>
      <bottom style="thin">
        <color rgb="FFD0D0D0"/>
      </bottom>
    </border>
  </borders>
  <cellStyleXfs count="1">
    <xf numFmtId="0" fontId="0" fillId="0" borderId="0"/>
  </cellStyleXfs>
  <cellXfs count="46">
    <xf numFmtId="0" fontId="0" fillId="0" borderId="0" applyAlignment="1" pivotButton="0" quotePrefix="0" xfId="0">
      <alignment vertical="bottom"/>
    </xf>
    <xf numFmtId="0" fontId="1" fillId="2" borderId="1" applyAlignment="1" pivotButton="0" quotePrefix="0" xfId="0">
      <alignment vertical="bottom"/>
    </xf>
    <xf numFmtId="0" fontId="2" fillId="2" borderId="1"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5" fillId="3" borderId="2" applyAlignment="1" pivotButton="0" quotePrefix="0" xfId="0">
      <alignment vertical="bottom"/>
    </xf>
    <xf numFmtId="0" fontId="6" fillId="0" borderId="0" applyAlignment="1" pivotButton="0" quotePrefix="0" xfId="0">
      <alignment vertical="bottom"/>
    </xf>
    <xf numFmtId="0" fontId="4" fillId="4" borderId="1" applyAlignment="1" pivotButton="0" quotePrefix="0" xfId="0">
      <alignment vertical="bottom"/>
    </xf>
    <xf numFmtId="0" fontId="6" fillId="5" borderId="2" applyAlignment="1" pivotButton="0" quotePrefix="0" xfId="0">
      <alignment vertical="bottom"/>
    </xf>
    <xf numFmtId="0" fontId="7" fillId="0" borderId="2" applyAlignment="1" pivotButton="0" quotePrefix="0" xfId="0">
      <alignment vertical="bottom"/>
    </xf>
    <xf numFmtId="0" fontId="2" fillId="4" borderId="1" applyAlignment="1" pivotButton="0" quotePrefix="0" xfId="0">
      <alignment vertical="bottom"/>
    </xf>
    <xf numFmtId="0" fontId="6" fillId="6" borderId="2" applyAlignment="1" pivotButton="0" quotePrefix="0" xfId="0">
      <alignment vertical="bottom"/>
    </xf>
    <xf numFmtId="0" fontId="8" fillId="0" borderId="0" applyAlignment="1" pivotButton="0" quotePrefix="0" xfId="0">
      <alignment vertical="bottom"/>
    </xf>
    <xf numFmtId="0" fontId="5" fillId="3" borderId="2" applyAlignment="1" pivotButton="0" quotePrefix="0" xfId="0">
      <alignment horizontal="center" vertical="bottom"/>
    </xf>
    <xf numFmtId="0" fontId="6" fillId="0" borderId="0" applyAlignment="1" pivotButton="0" quotePrefix="0" xfId="0">
      <alignment vertical="bottom"/>
    </xf>
    <xf numFmtId="3" fontId="5" fillId="3" borderId="2" applyAlignment="1" pivotButton="0" quotePrefix="0" xfId="0">
      <alignment vertical="bottom"/>
    </xf>
    <xf numFmtId="164" fontId="5" fillId="3" borderId="2" applyAlignment="1" pivotButton="0" quotePrefix="0" xfId="0">
      <alignment vertical="bottom"/>
    </xf>
    <xf numFmtId="0" fontId="3" fillId="0" borderId="0" applyAlignment="1" pivotButton="0" quotePrefix="0" xfId="0">
      <alignment vertical="bottom"/>
    </xf>
    <xf numFmtId="3" fontId="9" fillId="5" borderId="2" applyAlignment="1" pivotButton="0" quotePrefix="0" xfId="0">
      <alignment vertical="bottom"/>
    </xf>
    <xf numFmtId="3" fontId="6" fillId="5" borderId="2" applyAlignment="1" pivotButton="0" quotePrefix="0" xfId="0">
      <alignment vertical="bottom"/>
    </xf>
    <xf numFmtId="165" fontId="7" fillId="5" borderId="2" applyAlignment="1" pivotButton="0" quotePrefix="0" xfId="0">
      <alignment vertical="bottom"/>
    </xf>
    <xf numFmtId="166" fontId="5" fillId="3" borderId="2" applyAlignment="1" pivotButton="0" quotePrefix="0" xfId="0">
      <alignment vertical="bottom"/>
    </xf>
    <xf numFmtId="167" fontId="5" fillId="3" borderId="2" applyAlignment="1" pivotButton="0" quotePrefix="0" xfId="0">
      <alignment vertical="bottom"/>
    </xf>
    <xf numFmtId="165" fontId="9" fillId="5" borderId="2" applyAlignment="1" pivotButton="0" quotePrefix="0" xfId="0">
      <alignment vertical="bottom"/>
    </xf>
    <xf numFmtId="165" fontId="6" fillId="5" borderId="2" applyAlignment="1" pivotButton="0" quotePrefix="0" xfId="0">
      <alignment vertical="bottom"/>
    </xf>
    <xf numFmtId="168" fontId="5" fillId="3" borderId="2" applyAlignment="1" pivotButton="0" quotePrefix="0" xfId="0">
      <alignment vertical="bottom"/>
    </xf>
    <xf numFmtId="0" fontId="9" fillId="5" borderId="2" applyAlignment="1" pivotButton="0" quotePrefix="0" xfId="0">
      <alignment vertical="bottom"/>
    </xf>
    <xf numFmtId="0" fontId="8" fillId="6" borderId="2" applyAlignment="1" pivotButton="0" quotePrefix="0" xfId="0">
      <alignment vertical="bottom"/>
    </xf>
    <xf numFmtId="164" fontId="6" fillId="5" borderId="2" applyAlignment="1" pivotButton="0" quotePrefix="0" xfId="0">
      <alignment vertical="bottom"/>
    </xf>
    <xf numFmtId="165" fontId="5" fillId="3" borderId="2" applyAlignment="1" pivotButton="0" quotePrefix="0" xfId="0">
      <alignment vertical="bottom"/>
    </xf>
    <xf numFmtId="169" fontId="6" fillId="5" borderId="2" applyAlignment="1" pivotButton="0" quotePrefix="0" xfId="0">
      <alignment vertical="bottom"/>
    </xf>
    <xf numFmtId="164" fontId="9" fillId="5" borderId="2" applyAlignment="1" pivotButton="0" quotePrefix="0" xfId="0">
      <alignment vertical="bottom"/>
    </xf>
    <xf numFmtId="167" fontId="6" fillId="5" borderId="2" applyAlignment="1" pivotButton="0" quotePrefix="0" xfId="0">
      <alignment vertical="bottom"/>
    </xf>
    <xf numFmtId="167" fontId="9" fillId="5" borderId="2" applyAlignment="1" pivotButton="0" quotePrefix="0" xfId="0">
      <alignment vertical="bottom"/>
    </xf>
    <xf numFmtId="164" fontId="7" fillId="5" borderId="2" applyAlignment="1" pivotButton="0" quotePrefix="0" xfId="0">
      <alignment vertical="bottom"/>
    </xf>
    <xf numFmtId="168" fontId="9" fillId="5" borderId="2" applyAlignment="1" pivotButton="0" quotePrefix="0" xfId="0">
      <alignment vertical="bottom"/>
    </xf>
    <xf numFmtId="170" fontId="6" fillId="5" borderId="2" applyAlignment="1" pivotButton="0" quotePrefix="0" xfId="0">
      <alignment vertical="bottom"/>
    </xf>
    <xf numFmtId="168" fontId="6" fillId="5" borderId="2" applyAlignment="1" pivotButton="0" quotePrefix="0" xfId="0">
      <alignment vertical="bottom"/>
    </xf>
    <xf numFmtId="4" fontId="9" fillId="5" borderId="2" applyAlignment="1" pivotButton="0" quotePrefix="0" xfId="0">
      <alignment vertical="bottom"/>
    </xf>
    <xf numFmtId="169" fontId="9" fillId="5" borderId="2" applyAlignment="1" pivotButton="0" quotePrefix="0" xfId="0">
      <alignment vertical="bottom"/>
    </xf>
    <xf numFmtId="164" fontId="6" fillId="6" borderId="2" applyAlignment="1" pivotButton="0" quotePrefix="0" xfId="0">
      <alignment vertical="bottom"/>
    </xf>
    <xf numFmtId="0" fontId="5" fillId="3" borderId="2" applyAlignment="1" pivotButton="0" quotePrefix="0" xfId="0">
      <alignment vertical="top" wrapText="1"/>
    </xf>
    <xf numFmtId="0" fontId="10" fillId="2" borderId="2" applyAlignment="1" pivotButton="0" quotePrefix="0" xfId="0">
      <alignment vertical="bottom"/>
    </xf>
    <xf numFmtId="0" fontId="6" fillId="6" borderId="2" applyAlignment="1" pivotButton="0" quotePrefix="0" xfId="0">
      <alignment vertical="top"/>
    </xf>
    <xf numFmtId="0" fontId="3" fillId="6" borderId="2"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None</author>
  </authors>
  <commentList>
    <comment ref="B5" authorId="0" shapeId="0">
      <text>
        <t>======
ID#AAACIQEOV6c
Unknown Author    (2026-10-08 02:20:56)
Ví dụ mẫu đang điền sẵn — thay bằng sản phẩm của bạn.</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ColWidth="14.43" defaultRowHeight="15" customHeight="1"/>
  <cols>
    <col width="52" customWidth="1" style="45" min="1" max="1"/>
    <col width="62" customWidth="1" style="45" min="2" max="2"/>
    <col width="15" customWidth="1" style="45" min="3" max="8"/>
    <col width="8.710000000000001" customWidth="1" style="45" min="9" max="26"/>
  </cols>
  <sheetData>
    <row r="1" ht="24" customHeight="1" s="45">
      <c r="A1" s="1" t="inlineStr">
        <is>
          <t>DAY 28 — MONETIZATION MODEL</t>
        </is>
      </c>
      <c r="B1" s="2" t="n"/>
      <c r="C1" s="2" t="n"/>
      <c r="D1" s="2" t="n"/>
      <c r="E1" s="2" t="n"/>
      <c r="F1" s="2" t="n"/>
      <c r="G1" s="2" t="n"/>
      <c r="H1" s="2" t="n"/>
    </row>
    <row r="2">
      <c r="A2" s="17" t="inlineStr">
        <is>
          <t>AI Pricing · GTM · Evidence — AI-IN-ACTION Track 1</t>
        </is>
      </c>
    </row>
    <row r="4">
      <c r="A4" s="4" t="inlineStr">
        <is>
          <t>QUY ƯỚC MÀU — CHỈ ĐIỀN VÀO Ô MÀU VÀNG</t>
        </is>
      </c>
    </row>
    <row r="5">
      <c r="A5" s="5" t="inlineStr">
        <is>
          <t>Ô VÀNG, chữ xanh dương</t>
        </is>
      </c>
      <c r="B5" s="14" t="inlineStr">
        <is>
          <t>Ô bạn phải điền</t>
        </is>
      </c>
    </row>
    <row r="6">
      <c r="A6" s="8" t="inlineStr">
        <is>
          <t>Ô XÁM, chữ đen</t>
        </is>
      </c>
      <c r="B6" s="14" t="inlineStr">
        <is>
          <t>Công thức tự tính — KHÔNG SỬA</t>
        </is>
      </c>
    </row>
    <row r="7">
      <c r="A7" s="9" t="inlineStr">
        <is>
          <t>Chữ xanh lá</t>
        </is>
      </c>
      <c r="B7" s="14" t="inlineStr">
        <is>
          <t>Link sang tab khác</t>
        </is>
      </c>
    </row>
    <row r="8">
      <c r="A8" s="11" t="inlineStr">
        <is>
          <t>Ô XÁM đậm nhạt</t>
        </is>
      </c>
      <c r="B8" s="14" t="inlineStr">
        <is>
          <t>Bảng tham chiếu, chỉ đọc</t>
        </is>
      </c>
    </row>
    <row r="10">
      <c r="A10" s="4" t="inlineStr">
        <is>
          <t>THỨ TỰ LÀM — 6 TRẠM, 120 PHÚT</t>
        </is>
      </c>
    </row>
    <row r="11">
      <c r="A11" s="12" t="inlineStr">
        <is>
          <t>Trạm 1 · 15'</t>
        </is>
      </c>
      <c r="B11" s="14" t="inlineStr">
        <is>
          <t>Ngân sách khách &amp; định nghĩa Job → điền S1–S2 của tab 1_Cost_Job</t>
        </is>
      </c>
    </row>
    <row r="12">
      <c r="A12" s="12" t="inlineStr">
        <is>
          <t>Trạm 2 · 20'</t>
        </is>
      </c>
      <c r="B12" s="14" t="inlineStr">
        <is>
          <t>Value Metric → tab 3_Value_Metric</t>
        </is>
      </c>
    </row>
    <row r="13">
      <c r="A13" s="12" t="inlineStr">
        <is>
          <t>Trạm 3 · 30'</t>
        </is>
      </c>
      <c r="B13" s="14" t="inlineStr">
        <is>
          <t>Cost/Job, giá sàn &amp; giá trần → tab 1_Cost_Job (S3–S8) rồi 2_Pricing</t>
        </is>
      </c>
    </row>
    <row r="14">
      <c r="A14" s="12" t="inlineStr">
        <is>
          <t>Trạm 4 · 20'</t>
        </is>
      </c>
      <c r="B14" s="14" t="inlineStr">
        <is>
          <t>Kênh phân phối &amp; Affordability Test → tab 4_Channel_Fit</t>
        </is>
      </c>
    </row>
    <row r="15">
      <c r="A15" s="12" t="inlineStr">
        <is>
          <t>Trạm 5 · 15'</t>
        </is>
      </c>
      <c r="B15" s="14" t="inlineStr">
        <is>
          <t>Pain Moment &amp; 90-Day Plan → tab 5_90Day_Plan</t>
        </is>
      </c>
    </row>
    <row r="16">
      <c r="A16" s="12" t="inlineStr">
        <is>
          <t>Trạm 6 · 20'</t>
        </is>
      </c>
      <c r="B16" s="14" t="inlineStr">
        <is>
          <t>Evidence Pack &amp; ráp One-Pager → tab 5_90Day_Plan + file .docx</t>
        </is>
      </c>
    </row>
    <row r="18">
      <c r="A18" s="4" t="inlineStr">
        <is>
          <t>3 QUY TẮC KHÔNG ĐƯỢC PHÁ</t>
        </is>
      </c>
    </row>
    <row r="19">
      <c r="A19" s="14" t="inlineStr">
        <is>
          <t>1. Chia cho số job HOÀN THÀNH, không phải số job đã thử.</t>
        </is>
      </c>
    </row>
    <row r="20">
      <c r="A20" s="14" t="inlineStr">
        <is>
          <t>2. HITL và Retry không được để 0 nếu không có lý do viết ra được.</t>
        </is>
      </c>
    </row>
    <row r="21" ht="15.75" customHeight="1" s="45">
      <c r="A21" s="14" t="inlineStr">
        <is>
          <t>3. Mọi con số giá API phải có NGÀY kiểm tra (xem tab 6_Benchmarks).</t>
        </is>
      </c>
    </row>
    <row r="22" ht="15.75" customHeight="1" s="45"/>
    <row r="23" ht="15.75" customHeight="1" s="45">
      <c r="A23" s="17" t="inlineStr">
        <is>
          <t>Giá tham chiếu trong workbook này được chốt ngày 26/08/2026. Nhiều mức giá là KHUYẾN MẠI CÓ HẠN.</t>
        </is>
      </c>
    </row>
    <row r="24" ht="15.75" customHeight="1" s="45">
      <c r="A24" s="17" t="inlineStr">
        <is>
          <t>Bạn PHẢI tự mở lại trang giá của nhà cung cấp và cập nhật — đây là một phần của bài tập.</t>
        </is>
      </c>
    </row>
    <row r="25" ht="15.75" customHeight="1" s="45"/>
    <row r="26" ht="15.75" customHeight="1" s="45"/>
    <row r="27" ht="15.75" customHeight="1" s="45"/>
    <row r="28" ht="15.75" customHeight="1" s="45"/>
    <row r="29" ht="15.75" customHeight="1" s="45"/>
    <row r="30" ht="15.75" customHeight="1" s="45"/>
    <row r="31" ht="15.75" customHeight="1" s="45"/>
    <row r="32" ht="15.75" customHeight="1" s="45"/>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ColWidth="14.43" defaultRowHeight="15" customHeight="1"/>
  <cols>
    <col width="46" customWidth="1" style="45" min="1" max="1"/>
    <col width="16" customWidth="1" style="45" min="2" max="3"/>
    <col width="52" customWidth="1" style="45" min="4" max="4"/>
    <col width="15" customWidth="1" style="45" min="5" max="8"/>
    <col width="8.710000000000001" customWidth="1" style="45" min="9" max="26"/>
  </cols>
  <sheetData>
    <row r="1" ht="24" customHeight="1" s="45">
      <c r="A1" s="1" t="inlineStr">
        <is>
          <t>TAB 1 — COST/JOB CALCULATOR</t>
        </is>
      </c>
      <c r="B1" s="2" t="n"/>
      <c r="C1" s="2" t="n"/>
      <c r="D1" s="2" t="n"/>
      <c r="E1" s="2" t="n"/>
      <c r="F1" s="2" t="n"/>
      <c r="G1" s="2" t="n"/>
      <c r="H1" s="2" t="n"/>
    </row>
    <row r="2">
      <c r="A2" s="17" t="inlineStr">
        <is>
          <t>Trạm 1 (S1–S2) và Trạm 3 (S3–S8). Chỉ điền ô vàng.</t>
        </is>
      </c>
    </row>
    <row r="4">
      <c r="A4" s="7" t="inlineStr">
        <is>
          <t>S1. ĐỊNH NGHĨA JOB</t>
        </is>
      </c>
      <c r="B4" s="10" t="n"/>
      <c r="C4" s="10" t="n"/>
      <c r="D4" s="10" t="n"/>
      <c r="E4" s="10" t="n"/>
      <c r="F4" s="10" t="n"/>
      <c r="G4" s="10" t="n"/>
      <c r="H4" s="10" t="n"/>
    </row>
    <row r="5">
      <c r="A5" s="14" t="inlineStr">
        <is>
          <t>1 job của bạn là gì?</t>
        </is>
      </c>
      <c r="B5" s="5" t="inlineStr">
        <is>
          <t>1 ticket được giải quyết xong (khách xác nhận hoặc không hỏi lại)</t>
        </is>
      </c>
      <c r="D5" s="17" t="inlineStr">
        <is>
          <t>Phải là thứ KHÁCH coi là giá trị — không phải '1 request'</t>
        </is>
      </c>
    </row>
    <row r="6">
      <c r="A6" s="14" t="inlineStr">
        <is>
          <t>Biến thể HITL: A hay B?</t>
        </is>
      </c>
      <c r="B6" s="13" t="inlineStr">
        <is>
          <t>B</t>
        </is>
      </c>
      <c r="D6" s="17" t="inlineStr">
        <is>
          <t>A = khách tự xử lý ca escalate · B = BẠN chịu (outcome/managed)</t>
        </is>
      </c>
    </row>
    <row r="8">
      <c r="A8" s="7" t="inlineStr">
        <is>
          <t>S2. KHỐI LƯỢNG</t>
        </is>
      </c>
      <c r="B8" s="10" t="n"/>
      <c r="C8" s="10" t="n"/>
      <c r="D8" s="10" t="n"/>
      <c r="E8" s="10" t="n"/>
      <c r="F8" s="10" t="n"/>
      <c r="G8" s="10" t="n"/>
      <c r="H8" s="10" t="n"/>
    </row>
    <row r="9">
      <c r="A9" s="14" t="inlineStr">
        <is>
          <t>Số job THỬ / tháng</t>
        </is>
      </c>
      <c r="B9" s="15" t="n">
        <v>1000</v>
      </c>
      <c r="C9" s="17" t="inlineStr">
        <is>
          <t>job</t>
        </is>
      </c>
    </row>
    <row r="10">
      <c r="A10" s="14" t="inlineStr">
        <is>
          <t>Containment rate (AI tự làm xong)</t>
        </is>
      </c>
      <c r="B10" s="16" t="n">
        <v>0.82</v>
      </c>
      <c r="D10" s="17" t="inlineStr">
        <is>
          <t>Chưa đo → ước tính và ghi rõ</t>
        </is>
      </c>
    </row>
    <row r="11">
      <c r="A11" s="14" t="inlineStr">
        <is>
          <t>→ Số job HOÀN THÀNH / tháng</t>
        </is>
      </c>
      <c r="B11" s="19">
        <f>B9*B10</f>
        <v/>
      </c>
      <c r="C11" s="17" t="inlineStr">
        <is>
          <t>job</t>
        </is>
      </c>
      <c r="D11" s="17" t="inlineStr">
        <is>
          <t>MẪU SỐ của Cost/Job</t>
        </is>
      </c>
    </row>
    <row r="12">
      <c r="A12" s="14" t="inlineStr">
        <is>
          <t>→ Số job KHÔNG xong / tháng</t>
        </is>
      </c>
      <c r="B12" s="19">
        <f>B9-B11</f>
        <v/>
      </c>
      <c r="C12" s="17" t="inlineStr">
        <is>
          <t>job</t>
        </is>
      </c>
      <c r="D12" s="17" t="inlineStr">
        <is>
          <t>Số ca phải escalate</t>
        </is>
      </c>
    </row>
    <row r="14">
      <c r="A14" s="7" t="inlineStr">
        <is>
          <t>S3. API — LLM</t>
        </is>
      </c>
      <c r="B14" s="10" t="n"/>
      <c r="C14" s="10" t="n"/>
      <c r="D14" s="10" t="n"/>
      <c r="E14" s="10" t="n"/>
      <c r="F14" s="10" t="n"/>
      <c r="G14" s="10" t="n"/>
      <c r="H14" s="10" t="n"/>
    </row>
    <row r="15">
      <c r="A15" s="14" t="inlineStr">
        <is>
          <t>Giá input ($ / 1M token)</t>
        </is>
      </c>
      <c r="B15" s="22" t="n">
        <v>1</v>
      </c>
      <c r="D15" s="17" t="inlineStr">
        <is>
          <t>Claude Haiku 4.5 — xem tab 6_Benchmarks</t>
        </is>
      </c>
    </row>
    <row r="16">
      <c r="A16" s="14" t="inlineStr">
        <is>
          <t>Giá output ($ / 1M token)</t>
        </is>
      </c>
      <c r="B16" s="22" t="n">
        <v>5</v>
      </c>
    </row>
    <row r="17">
      <c r="A17" s="14" t="inlineStr">
        <is>
          <t>Giá cache WRITE ($ / 1M token)</t>
        </is>
      </c>
      <c r="B17" s="22" t="n">
        <v>1.25</v>
      </c>
      <c r="D17" s="17" t="inlineStr">
        <is>
          <t>Anthropic 5-phút = 1,25× input</t>
        </is>
      </c>
    </row>
    <row r="18">
      <c r="A18" s="14" t="inlineStr">
        <is>
          <t>Giá cache READ ($ / 1M token)</t>
        </is>
      </c>
      <c r="B18" s="22" t="n">
        <v>0.1</v>
      </c>
      <c r="D18" s="17" t="inlineStr">
        <is>
          <t>≈ 0,1× input (giảm 90%)</t>
        </is>
      </c>
    </row>
    <row r="19">
      <c r="A19" s="14" t="inlineStr">
        <is>
          <t>Số lượt (turns) / job</t>
        </is>
      </c>
      <c r="B19" s="15" t="n">
        <v>6</v>
      </c>
      <c r="C19" s="17" t="inlineStr">
        <is>
          <t>lượt</t>
        </is>
      </c>
    </row>
    <row r="20">
      <c r="A20" s="14" t="inlineStr">
        <is>
          <t>Token input CACHE ĐƯỢC / lượt</t>
        </is>
      </c>
      <c r="B20" s="15" t="n">
        <v>3000</v>
      </c>
      <c r="C20" s="17" t="inlineStr">
        <is>
          <t>token</t>
        </is>
      </c>
      <c r="D20" s="17" t="inlineStr">
        <is>
          <t>System prompt + KB + few-shot</t>
        </is>
      </c>
    </row>
    <row r="21" ht="15.75" customHeight="1" s="45">
      <c r="A21" s="14" t="inlineStr">
        <is>
          <t>Token input FRESH / lượt</t>
        </is>
      </c>
      <c r="B21" s="15" t="n">
        <v>1000</v>
      </c>
      <c r="C21" s="17" t="inlineStr">
        <is>
          <t>token</t>
        </is>
      </c>
      <c r="D21" s="17" t="inlineStr">
        <is>
          <t>Câu hỏi khách + dữ liệu động</t>
        </is>
      </c>
    </row>
    <row r="22" ht="15.75" customHeight="1" s="45">
      <c r="A22" s="14" t="inlineStr">
        <is>
          <t>Token output / lượt</t>
        </is>
      </c>
      <c r="B22" s="15" t="n">
        <v>300</v>
      </c>
      <c r="C22" s="17" t="inlineStr">
        <is>
          <t>token</t>
        </is>
      </c>
    </row>
    <row r="23" ht="15.75" customHeight="1" s="45">
      <c r="A23" s="14" t="inlineStr">
        <is>
          <t>→ Cache write / job</t>
        </is>
      </c>
      <c r="B23" s="24">
        <f>B20*B17/1000000</f>
        <v/>
      </c>
    </row>
    <row r="24" ht="15.75" customHeight="1" s="45">
      <c r="A24" s="14" t="inlineStr">
        <is>
          <t>→ Cache read / job</t>
        </is>
      </c>
      <c r="B24" s="24">
        <f>(B19-1)*B20*B18/1000000</f>
        <v/>
      </c>
    </row>
    <row r="25" ht="15.75" customHeight="1" s="45">
      <c r="A25" s="14" t="inlineStr">
        <is>
          <t>→ Input fresh / job</t>
        </is>
      </c>
      <c r="B25" s="24">
        <f>B19*B21*B15/1000000</f>
        <v/>
      </c>
    </row>
    <row r="26" ht="15.75" customHeight="1" s="45">
      <c r="A26" s="14" t="inlineStr">
        <is>
          <t>→ Output / job</t>
        </is>
      </c>
      <c r="B26" s="24">
        <f>B19*B22*B16/1000000</f>
        <v/>
      </c>
    </row>
    <row r="27" ht="15.75" customHeight="1" s="45">
      <c r="A27" s="12" t="inlineStr">
        <is>
          <t>→ LLM / job — CÓ prompt caching</t>
        </is>
      </c>
      <c r="B27" s="23">
        <f>SUM(B23:B26)</f>
        <v/>
      </c>
    </row>
    <row r="28" ht="15.75" customHeight="1" s="45">
      <c r="A28" s="14" t="inlineStr">
        <is>
          <t>→ LLM / job — KHÔNG cache</t>
        </is>
      </c>
      <c r="B28" s="24">
        <f>B19*(B20+B21)*B15/1000000+B26</f>
        <v/>
      </c>
    </row>
    <row r="29" ht="15.75" customHeight="1" s="45">
      <c r="A29" s="14" t="inlineStr">
        <is>
          <t>→ % tiết kiệm nhờ caching</t>
        </is>
      </c>
      <c r="B29" s="28">
        <f>IF(B28=0,0,1-B27/B28)</f>
        <v/>
      </c>
      <c r="D29" s="17" t="inlineStr">
        <is>
          <t>Đòn bẩy rẻ nhất bạn có</t>
        </is>
      </c>
    </row>
    <row r="30" ht="15.75" customHeight="1" s="45">
      <c r="A30" s="14" t="inlineStr">
        <is>
          <t>Dùng Batch API? (1 = có, 0 = không)</t>
        </is>
      </c>
      <c r="B30" s="15" t="n">
        <v>0</v>
      </c>
      <c r="D30" s="17" t="inlineStr">
        <is>
          <t>Batch giảm 50% — chỉ khi job KHÔNG cần realtime</t>
        </is>
      </c>
    </row>
    <row r="31" ht="15.75" customHeight="1" s="45">
      <c r="A31" s="12" t="inlineStr">
        <is>
          <t>→ LLM / job sau Batch</t>
        </is>
      </c>
      <c r="B31" s="23">
        <f>B27*(1-B30*0.5)</f>
        <v/>
      </c>
    </row>
    <row r="32" ht="15.75" customHeight="1" s="45"/>
    <row r="33" ht="15.75" customHeight="1" s="45">
      <c r="A33" s="7" t="inlineStr">
        <is>
          <t>S4. API — SPEECH (để 0 nếu sản phẩm không có thoại)</t>
        </is>
      </c>
      <c r="B33" s="10" t="n"/>
      <c r="C33" s="10" t="n"/>
      <c r="D33" s="10" t="n"/>
      <c r="E33" s="10" t="n"/>
      <c r="F33" s="10" t="n"/>
      <c r="G33" s="10" t="n"/>
      <c r="H33" s="10" t="n"/>
    </row>
    <row r="34" ht="15.75" customHeight="1" s="45">
      <c r="A34" s="14" t="inlineStr">
        <is>
          <t>Giá STT ($ / phút)</t>
        </is>
      </c>
      <c r="B34" s="29" t="n">
        <v>0</v>
      </c>
      <c r="D34" s="17" t="inlineStr">
        <is>
          <t>Deepgram streaming list $0,0077/phút</t>
        </is>
      </c>
    </row>
    <row r="35" ht="15.75" customHeight="1" s="45">
      <c r="A35" s="14" t="inlineStr">
        <is>
          <t>Số phút audio / job</t>
        </is>
      </c>
      <c r="B35" s="21" t="n">
        <v>0</v>
      </c>
      <c r="C35" s="17" t="inlineStr">
        <is>
          <t>phút</t>
        </is>
      </c>
    </row>
    <row r="36" ht="15.75" customHeight="1" s="45">
      <c r="A36" s="14" t="inlineStr">
        <is>
          <t>Giá TTS ($ / 1M ký tự)</t>
        </is>
      </c>
      <c r="B36" s="22" t="n">
        <v>0</v>
      </c>
      <c r="D36" s="17" t="inlineStr">
        <is>
          <t>ElevenLabs Flash $50 · Google Standard $4</t>
        </is>
      </c>
    </row>
    <row r="37" ht="15.75" customHeight="1" s="45">
      <c r="A37" s="14" t="inlineStr">
        <is>
          <t>Số ký tự TTS / job</t>
        </is>
      </c>
      <c r="B37" s="15" t="n">
        <v>0</v>
      </c>
      <c r="C37" s="17" t="inlineStr">
        <is>
          <t>ký tự</t>
        </is>
      </c>
      <c r="D37" s="17" t="inlineStr">
        <is>
          <t>≈ 900 ký tự cho mỗi phút bot nói</t>
        </is>
      </c>
    </row>
    <row r="38" ht="15.75" customHeight="1" s="45">
      <c r="A38" s="14" t="inlineStr">
        <is>
          <t>→ Speech / job</t>
        </is>
      </c>
      <c r="B38" s="24">
        <f>B34*B35+B36*B37/1000000</f>
        <v/>
      </c>
    </row>
    <row r="39" ht="15.75" customHeight="1" s="45"/>
    <row r="40" ht="15.75" customHeight="1" s="45">
      <c r="A40" s="7" t="inlineStr">
        <is>
          <t>S5. INFRA</t>
        </is>
      </c>
      <c r="B40" s="10" t="n"/>
      <c r="C40" s="10" t="n"/>
      <c r="D40" s="10" t="n"/>
      <c r="E40" s="10" t="n"/>
      <c r="F40" s="10" t="n"/>
      <c r="G40" s="10" t="n"/>
      <c r="H40" s="10" t="n"/>
    </row>
    <row r="41" ht="15.75" customHeight="1" s="45">
      <c r="A41" s="14" t="inlineStr">
        <is>
          <t>Infra / job ($)</t>
        </is>
      </c>
      <c r="B41" s="29" t="n">
        <v>0.005</v>
      </c>
      <c r="D41" s="17" t="inlineStr">
        <is>
          <t>Vector DB, embedding, storage, logging</t>
        </is>
      </c>
    </row>
    <row r="42" ht="15.75" customHeight="1" s="45">
      <c r="A42" s="14" t="inlineStr">
        <is>
          <t>Telephony ($ / phút)</t>
        </is>
      </c>
      <c r="B42" s="29" t="n">
        <v>0</v>
      </c>
    </row>
    <row r="43" ht="15.75" customHeight="1" s="45">
      <c r="A43" s="14" t="inlineStr">
        <is>
          <t>→ Infra / job</t>
        </is>
      </c>
      <c r="B43" s="24">
        <f>B41+B42*B35</f>
        <v/>
      </c>
    </row>
    <row r="44" ht="15.75" customHeight="1" s="45"/>
    <row r="45" ht="15.75" customHeight="1" s="45">
      <c r="A45" s="7" t="inlineStr">
        <is>
          <t>S6. RETRY</t>
        </is>
      </c>
      <c r="B45" s="10" t="n"/>
      <c r="C45" s="10" t="n"/>
      <c r="D45" s="10" t="n"/>
      <c r="E45" s="10" t="n"/>
      <c r="F45" s="10" t="n"/>
      <c r="G45" s="10" t="n"/>
      <c r="H45" s="10" t="n"/>
    </row>
    <row r="46" ht="15.75" customHeight="1" s="45">
      <c r="A46" s="14" t="inlineStr">
        <is>
          <t>Tỷ lệ job phải chạy lại</t>
        </is>
      </c>
      <c r="B46" s="16" t="n">
        <v>0.08</v>
      </c>
      <c r="D46" s="17" t="inlineStr">
        <is>
          <t>ĐỪNG để 0%. Thực tế 5–10% là bình thường</t>
        </is>
      </c>
    </row>
    <row r="47" ht="15.75" customHeight="1" s="45">
      <c r="A47" s="14" t="inlineStr">
        <is>
          <t>→ Retry / job</t>
        </is>
      </c>
      <c r="B47" s="24">
        <f>(B31+B38)*B46</f>
        <v/>
      </c>
    </row>
    <row r="48" ht="15.75" customHeight="1" s="45"/>
    <row r="49" ht="15.75" customHeight="1" s="45">
      <c r="A49" s="7" t="inlineStr">
        <is>
          <t>S7. HITL — người trong vòng lặp</t>
        </is>
      </c>
      <c r="B49" s="10" t="n"/>
      <c r="C49" s="10" t="n"/>
      <c r="D49" s="10" t="n"/>
      <c r="E49" s="10" t="n"/>
      <c r="F49" s="10" t="n"/>
      <c r="G49" s="10" t="n"/>
      <c r="H49" s="10" t="n"/>
    </row>
    <row r="50" ht="15.75" customHeight="1" s="45">
      <c r="A50" s="14" t="inlineStr">
        <is>
          <t>Chi phí nhân sự ($ / giờ, fully-loaded)</t>
        </is>
      </c>
      <c r="B50" s="22" t="n">
        <v>9</v>
      </c>
      <c r="D50" s="17" t="inlineStr">
        <is>
          <t>Gồm lương + bảo hiểm + quản lý + chỗ ngồi</t>
        </is>
      </c>
    </row>
    <row r="51" ht="15.75" customHeight="1" s="45">
      <c r="A51" s="14" t="inlineStr">
        <is>
          <t>% hội thoại QA nội bộ</t>
        </is>
      </c>
      <c r="B51" s="16" t="n">
        <v>0.05</v>
      </c>
      <c r="D51" s="17" t="inlineStr">
        <is>
          <t>Luôn có, kể cả Biến thể A</t>
        </is>
      </c>
    </row>
    <row r="52" ht="15.75" customHeight="1" s="45">
      <c r="A52" s="14" t="inlineStr">
        <is>
          <t>Số phút QA / ca</t>
        </is>
      </c>
      <c r="B52" s="21" t="n">
        <v>2</v>
      </c>
      <c r="C52" s="17" t="inlineStr">
        <is>
          <t>phút</t>
        </is>
      </c>
    </row>
    <row r="53" ht="15.75" customHeight="1" s="45">
      <c r="A53" s="14" t="inlineStr">
        <is>
          <t>Số phút xử lý 1 ca escalate</t>
        </is>
      </c>
      <c r="B53" s="21" t="n">
        <v>6</v>
      </c>
      <c r="C53" s="17" t="inlineStr">
        <is>
          <t>phút</t>
        </is>
      </c>
    </row>
    <row r="54" ht="15.75" customHeight="1" s="45">
      <c r="A54" s="14" t="inlineStr">
        <is>
          <t>→ QA nội bộ / tháng</t>
        </is>
      </c>
      <c r="B54" s="32">
        <f>B9*B51*(B52/60)*B50</f>
        <v/>
      </c>
    </row>
    <row r="55" ht="15.75" customHeight="1" s="45">
      <c r="A55" s="14" t="inlineStr">
        <is>
          <t>→ Escalation / tháng (chỉ Biến thể B)</t>
        </is>
      </c>
      <c r="B55" s="32">
        <f>IF(B6="B",B12*(B53/60)*B50,0)</f>
        <v/>
      </c>
      <c r="D55" s="17" t="inlineStr">
        <is>
          <t>Biến thể A → 0 vì khách tự chịu</t>
        </is>
      </c>
    </row>
    <row r="56" ht="15.75" customHeight="1" s="45">
      <c r="A56" s="12" t="inlineStr">
        <is>
          <t>→ Tổng HITL / tháng</t>
        </is>
      </c>
      <c r="B56" s="33">
        <f>B54+B55</f>
        <v/>
      </c>
    </row>
    <row r="57" ht="15.75" customHeight="1" s="45"/>
    <row r="58" ht="15.75" customHeight="1" s="45">
      <c r="A58" s="7" t="inlineStr">
        <is>
          <t>S8. OVERHEAD (tuỳ chọn)</t>
        </is>
      </c>
      <c r="B58" s="10" t="n"/>
      <c r="C58" s="10" t="n"/>
      <c r="D58" s="10" t="n"/>
      <c r="E58" s="10" t="n"/>
      <c r="F58" s="10" t="n"/>
      <c r="G58" s="10" t="n"/>
      <c r="H58" s="10" t="n"/>
    </row>
    <row r="59" ht="15.75" customHeight="1" s="45">
      <c r="A59" s="14" t="inlineStr">
        <is>
          <t>R&amp;D + Sales phân bổ / tháng ($)</t>
        </is>
      </c>
      <c r="B59" s="22" t="n">
        <v>0</v>
      </c>
      <c r="D59" s="17" t="inlineStr">
        <is>
          <t>Để 0 nếu chỉ muốn xem Cost/Job thuần COGS</t>
        </is>
      </c>
    </row>
    <row r="60" ht="15.75" customHeight="1" s="45"/>
    <row r="61" ht="15.75" customHeight="1" s="45">
      <c r="A61" s="7" t="inlineStr">
        <is>
          <t>KẾT QUẢ</t>
        </is>
      </c>
      <c r="B61" s="10" t="n"/>
      <c r="C61" s="10" t="n"/>
      <c r="D61" s="10" t="n"/>
      <c r="E61" s="10" t="n"/>
      <c r="F61" s="10" t="n"/>
      <c r="G61" s="10" t="n"/>
      <c r="H61" s="10" t="n"/>
    </row>
    <row r="62" ht="15.75" customHeight="1" s="45">
      <c r="A62" s="14" t="inlineStr">
        <is>
          <t>Chi phí biến đổi / tháng (API + Speech + Infra + Retry)</t>
        </is>
      </c>
      <c r="B62" s="32">
        <f>B9*(B31+B38+B43+B47)</f>
        <v/>
      </c>
    </row>
    <row r="63" ht="15.75" customHeight="1" s="45">
      <c r="A63" s="14" t="inlineStr">
        <is>
          <t>HITL / tháng</t>
        </is>
      </c>
      <c r="B63" s="32">
        <f>B56</f>
        <v/>
      </c>
    </row>
    <row r="64" ht="15.75" customHeight="1" s="45">
      <c r="A64" s="14" t="inlineStr">
        <is>
          <t>Overhead / tháng</t>
        </is>
      </c>
      <c r="B64" s="32">
        <f>B59</f>
        <v/>
      </c>
    </row>
    <row r="65" ht="15.75" customHeight="1" s="45">
      <c r="A65" s="14" t="inlineStr">
        <is>
          <t>TỔNG CHI PHÍ / tháng</t>
        </is>
      </c>
      <c r="B65" s="32">
        <f>B62+B63+B64</f>
        <v/>
      </c>
    </row>
    <row r="66" ht="15.75" customHeight="1" s="45">
      <c r="A66" s="12" t="inlineStr">
        <is>
          <t>★ COST/JOB (chưa overhead)</t>
        </is>
      </c>
      <c r="B66" s="23">
        <f>IF(B11=0,0,(B62+B63)/B11)</f>
        <v/>
      </c>
      <c r="C66" s="17" t="inlineStr">
        <is>
          <t>$/job</t>
        </is>
      </c>
      <c r="D66" s="17" t="inlineStr">
        <is>
          <t>Con số chảy sang tab 2_Pricing</t>
        </is>
      </c>
    </row>
    <row r="67" ht="15.75" customHeight="1" s="45">
      <c r="A67" s="12" t="inlineStr">
        <is>
          <t>★ COST/JOB (có overhead)</t>
        </is>
      </c>
      <c r="B67" s="23">
        <f>IF(B11=0,0,B65/B11)</f>
        <v/>
      </c>
      <c r="C67" s="17" t="inlineStr">
        <is>
          <t>$/job</t>
        </is>
      </c>
    </row>
    <row r="68" ht="15.75" customHeight="1" s="45">
      <c r="A68" s="14" t="inlineStr">
        <is>
          <t>Tỷ giá (₫ / USD) — giả định</t>
        </is>
      </c>
      <c r="B68" s="15" t="n">
        <v>26000</v>
      </c>
      <c r="C68" s="17" t="inlineStr">
        <is>
          <t>₫/USD</t>
        </is>
      </c>
      <c r="D68" s="17" t="inlineStr">
        <is>
          <t>Thay bằng tỷ giá thực tế khi làm bài</t>
        </is>
      </c>
    </row>
    <row r="69" ht="15.75" customHeight="1" s="45">
      <c r="A69" s="14" t="inlineStr">
        <is>
          <t>→ Cost/Job quy đổi</t>
        </is>
      </c>
      <c r="B69" s="36">
        <f>B66*B68</f>
        <v/>
      </c>
      <c r="C69" s="17" t="inlineStr">
        <is>
          <t>₫/job</t>
        </is>
      </c>
    </row>
    <row r="70" ht="15.75" customHeight="1" s="45"/>
    <row r="71" ht="15.75" customHeight="1" s="45">
      <c r="A71" s="7" t="inlineStr">
        <is>
          <t>THÀNH PHẦN NÀO ĂN NHIỀU NHẤT? (kiểm tra nhanh)</t>
        </is>
      </c>
      <c r="B71" s="10" t="n"/>
      <c r="C71" s="10" t="n"/>
      <c r="D71" s="10" t="n"/>
      <c r="E71" s="10" t="n"/>
      <c r="F71" s="10" t="n"/>
      <c r="G71" s="10" t="n"/>
      <c r="H71" s="10" t="n"/>
    </row>
    <row r="72" ht="15.75" customHeight="1" s="45">
      <c r="A72" s="14" t="inlineStr">
        <is>
          <t>LLM</t>
        </is>
      </c>
      <c r="B72" s="32">
        <f>B9*B31</f>
        <v/>
      </c>
      <c r="C72" s="28">
        <f>IF($B$65=0,0,B72/$B$65)</f>
        <v/>
      </c>
    </row>
    <row r="73" ht="15.75" customHeight="1" s="45">
      <c r="A73" s="14" t="inlineStr">
        <is>
          <t>Speech</t>
        </is>
      </c>
      <c r="B73" s="32">
        <f>B9*B38</f>
        <v/>
      </c>
      <c r="C73" s="28">
        <f>IF($B$65=0,0,B73/$B$65)</f>
        <v/>
      </c>
    </row>
    <row r="74" ht="15.75" customHeight="1" s="45">
      <c r="A74" s="14" t="inlineStr">
        <is>
          <t>Infra</t>
        </is>
      </c>
      <c r="B74" s="32">
        <f>B9*B43</f>
        <v/>
      </c>
      <c r="C74" s="28">
        <f>IF($B$65=0,0,B74/$B$65)</f>
        <v/>
      </c>
    </row>
    <row r="75" ht="15.75" customHeight="1" s="45">
      <c r="A75" s="14" t="inlineStr">
        <is>
          <t>Retry</t>
        </is>
      </c>
      <c r="B75" s="32">
        <f>B9*B47</f>
        <v/>
      </c>
      <c r="C75" s="28">
        <f>IF($B$65=0,0,B75/$B$65)</f>
        <v/>
      </c>
    </row>
    <row r="76" ht="15.75" customHeight="1" s="45">
      <c r="A76" s="14" t="inlineStr">
        <is>
          <t>HITL</t>
        </is>
      </c>
      <c r="B76" s="32">
        <f>B56</f>
        <v/>
      </c>
      <c r="C76" s="28">
        <f>IF($B$65=0,0,B76/$B$65)</f>
        <v/>
      </c>
    </row>
    <row r="77" ht="15.75" customHeight="1" s="45">
      <c r="A77" s="14" t="inlineStr">
        <is>
          <t>Overhead</t>
        </is>
      </c>
      <c r="B77" s="32">
        <f>B59</f>
        <v/>
      </c>
      <c r="C77" s="28">
        <f>IF($B$65=0,0,B77/$B$65)</f>
        <v/>
      </c>
    </row>
    <row r="78" ht="15.75" customHeight="1" s="45">
      <c r="A78" s="17" t="inlineStr">
        <is>
          <t>Nếu LLM chiếm &gt;80% thì gần như chắc chắn bạn đang thiếu chi phí ở S5–S7.</t>
        </is>
      </c>
    </row>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dataValidations count="1">
    <dataValidation sqref="B6" showDropDown="0" showInputMessage="0" showErrorMessage="0" allowBlank="0" type="list">
      <formula1>"A,B"</formula1>
    </dataValidation>
  </dataValidations>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ColWidth="14.43" defaultRowHeight="15" customHeight="1"/>
  <cols>
    <col width="46" customWidth="1" style="45" min="1" max="1"/>
    <col width="16" customWidth="1" style="45" min="2" max="3"/>
    <col width="54" customWidth="1" style="45" min="4" max="4"/>
    <col width="15" customWidth="1" style="45" min="5" max="8"/>
    <col width="8.710000000000001" customWidth="1" style="45" min="9" max="26"/>
  </cols>
  <sheetData>
    <row r="1" ht="24" customHeight="1" s="45">
      <c r="A1" s="1" t="inlineStr">
        <is>
          <t>TAB 2 — PRICING SANITY CHECK</t>
        </is>
      </c>
      <c r="B1" s="2" t="n"/>
      <c r="C1" s="2" t="n"/>
      <c r="D1" s="2" t="n"/>
      <c r="E1" s="2" t="n"/>
      <c r="F1" s="2" t="n"/>
      <c r="G1" s="2" t="n"/>
      <c r="H1" s="2" t="n"/>
    </row>
    <row r="2">
      <c r="A2" s="17" t="inlineStr">
        <is>
          <t>Trạm 3. Cost/Job tự lấy từ tab 1. Bạn điền giá bán và các con số neo giá.</t>
        </is>
      </c>
    </row>
    <row r="4">
      <c r="A4" s="7" t="inlineStr">
        <is>
          <t>GIÁ SÀN</t>
        </is>
      </c>
      <c r="B4" s="10" t="n"/>
      <c r="C4" s="10" t="n"/>
      <c r="D4" s="10" t="n"/>
      <c r="E4" s="10" t="n"/>
      <c r="F4" s="10" t="n"/>
      <c r="G4" s="10" t="n"/>
      <c r="H4" s="10" t="n"/>
    </row>
    <row r="5">
      <c r="A5" s="14" t="inlineStr">
        <is>
          <t>Cost/Job (từ tab 1_Cost_Job)</t>
        </is>
      </c>
      <c r="B5" s="20">
        <f>'1_Cost_Job'!B66</f>
        <v/>
      </c>
      <c r="C5" s="17" t="inlineStr">
        <is>
          <t>$/job</t>
        </is>
      </c>
    </row>
    <row r="6">
      <c r="A6" s="14" t="inlineStr">
        <is>
          <t>Hệ số an toàn tối thiểu</t>
        </is>
      </c>
      <c r="B6" s="21" t="n">
        <v>3</v>
      </c>
      <c r="C6" s="17" t="inlineStr">
        <is>
          <t>×</t>
        </is>
      </c>
      <c r="D6" s="17" t="inlineStr">
        <is>
          <t>Giá bán ≥ 3 × Cost/Job</t>
        </is>
      </c>
    </row>
    <row r="7">
      <c r="A7" s="12" t="inlineStr">
        <is>
          <t>→ GIÁ SÀN</t>
        </is>
      </c>
      <c r="B7" s="23">
        <f>B5*B6</f>
        <v/>
      </c>
      <c r="C7" s="17" t="inlineStr">
        <is>
          <t>$/job</t>
        </is>
      </c>
    </row>
    <row r="9">
      <c r="A9" s="7" t="inlineStr">
        <is>
          <t>GIÁ TRẦN — NEO THEO THỨ KHÁCH ĐANG CHI</t>
        </is>
      </c>
      <c r="B9" s="10" t="n"/>
      <c r="C9" s="10" t="n"/>
      <c r="D9" s="10" t="n"/>
      <c r="E9" s="10" t="n"/>
      <c r="F9" s="10" t="n"/>
      <c r="G9" s="10" t="n"/>
      <c r="H9" s="10" t="n"/>
    </row>
    <row r="10">
      <c r="A10" s="14" t="inlineStr">
        <is>
          <t>Giá trị khách tiết kiệm được / tháng ($)</t>
        </is>
      </c>
      <c r="B10" s="25" t="n">
        <v>4000</v>
      </c>
      <c r="D10" s="17" t="inlineStr">
        <is>
          <t>Neo theo giá trị</t>
        </is>
      </c>
    </row>
    <row r="11">
      <c r="A11" s="14" t="inlineStr">
        <is>
          <t>Số job / tháng của 1 khách</t>
        </is>
      </c>
      <c r="B11" s="15" t="n">
        <v>1000</v>
      </c>
      <c r="C11" s="17" t="inlineStr">
        <is>
          <t>job</t>
        </is>
      </c>
    </row>
    <row r="12">
      <c r="A12" s="14" t="inlineStr">
        <is>
          <t>→ Trần theo giá trị — mức 10%</t>
        </is>
      </c>
      <c r="B12" s="24">
        <f>IF(B11=0,0,B10*0.1/B11)</f>
        <v/>
      </c>
      <c r="C12" s="17" t="inlineStr">
        <is>
          <t>$/job</t>
        </is>
      </c>
    </row>
    <row r="13">
      <c r="A13" s="14" t="inlineStr">
        <is>
          <t>→ Trần theo giá trị — mức 25%</t>
        </is>
      </c>
      <c r="B13" s="24">
        <f>IF(B11=0,0,B10*0.25/B11)</f>
        <v/>
      </c>
      <c r="C13" s="17" t="inlineStr">
        <is>
          <t>$/job</t>
        </is>
      </c>
    </row>
    <row r="14">
      <c r="A14" s="14" t="inlineStr">
        <is>
          <t>Lương / tháng của vị trí bị thay ($)</t>
        </is>
      </c>
      <c r="B14" s="25" t="n">
        <v>1500</v>
      </c>
      <c r="D14" s="17" t="inlineStr">
        <is>
          <t>Neo theo nhân công</t>
        </is>
      </c>
    </row>
    <row r="15">
      <c r="A15" s="14" t="inlineStr">
        <is>
          <t>→ Trần theo nhân công — mức 50%</t>
        </is>
      </c>
      <c r="B15" s="24">
        <f>IF(B11=0,0,B14*0.5/B11)</f>
        <v/>
      </c>
      <c r="C15" s="17" t="inlineStr">
        <is>
          <t>$/job</t>
        </is>
      </c>
    </row>
    <row r="16">
      <c r="A16" s="14" t="inlineStr">
        <is>
          <t>→ Trần theo nhân công — mức 70%</t>
        </is>
      </c>
      <c r="B16" s="24">
        <f>IF(B11=0,0,B14*0.7/B11)</f>
        <v/>
      </c>
      <c r="C16" s="17" t="inlineStr">
        <is>
          <t>$/job</t>
        </is>
      </c>
    </row>
    <row r="18">
      <c r="A18" s="7" t="inlineStr">
        <is>
          <t>GIÁ BÁN CỦA BẠN</t>
        </is>
      </c>
      <c r="B18" s="10" t="n"/>
      <c r="C18" s="10" t="n"/>
      <c r="D18" s="10" t="n"/>
      <c r="E18" s="10" t="n"/>
      <c r="F18" s="10" t="n"/>
      <c r="G18" s="10" t="n"/>
      <c r="H18" s="10" t="n"/>
    </row>
    <row r="19">
      <c r="A19" s="14" t="inlineStr">
        <is>
          <t>★ Giá bán đề xuất ($ / job)</t>
        </is>
      </c>
      <c r="B19" s="29" t="n">
        <v>0.99</v>
      </c>
      <c r="C19" s="17" t="inlineStr">
        <is>
          <t>$/job</t>
        </is>
      </c>
      <c r="D19" s="17" t="inlineStr">
        <is>
          <t>Tham chiếu: Intercom Fin $0,99 · Zendesk $1,50</t>
        </is>
      </c>
    </row>
    <row r="20">
      <c r="A20" s="14" t="inlineStr">
        <is>
          <t>→ Bội số so với Cost/Job</t>
        </is>
      </c>
      <c r="B20" s="30">
        <f>IF(B5=0,0,B19/B5)</f>
        <v/>
      </c>
    </row>
    <row r="21" ht="15.75" customHeight="1" s="45">
      <c r="A21" s="12" t="inlineStr">
        <is>
          <t>→ GROSS MARGIN</t>
        </is>
      </c>
      <c r="B21" s="31">
        <f>IF(B19=0,0,(B19-B5)/B19)</f>
        <v/>
      </c>
    </row>
    <row r="22" ht="15.75" customHeight="1" s="45">
      <c r="A22" s="14" t="inlineStr">
        <is>
          <t>→ Đèn: bội số ≥ 3?</t>
        </is>
      </c>
      <c r="B22" s="8">
        <f>IF(B20&gt;=B6,"OK — ĐẠT","KHÔNG ĐẠT — quay lại tab 1")</f>
        <v/>
      </c>
    </row>
    <row r="23" ht="15.75" customHeight="1" s="45">
      <c r="A23" s="14" t="inlineStr">
        <is>
          <t>→ Đèn: Gross Margin</t>
        </is>
      </c>
      <c r="B23" s="8">
        <f>IF(B21&gt;=0.6,"OK — AN TOÀN (≥60%)",IF(B21&gt;=0.5,"CẢNH BÁO (50–60%)","NGUY HIỂM (&lt;50%)"))</f>
        <v/>
      </c>
    </row>
    <row r="24" ht="15.75" customHeight="1" s="45">
      <c r="A24" s="14" t="inlineStr">
        <is>
          <t>→ Đèn: GM có cao bất thường?</t>
        </is>
      </c>
      <c r="B24" s="8">
        <f>IF(B21&gt;0.85,"NGHI NGỜ — nhiều khả năng bạn quên một khoản chi phí","OK")</f>
        <v/>
      </c>
    </row>
    <row r="25" ht="15.75" customHeight="1" s="45">
      <c r="A25" s="14" t="inlineStr">
        <is>
          <t>→ Giá bán nằm trong vùng neo?</t>
        </is>
      </c>
      <c r="B25" s="8">
        <f>IF(AND(B19&gt;=B7,B19&lt;=MAX(B13,B16)),"OK — trong vùng giá bán","XEM LẠI — ngoài vùng giá sàn/trần")</f>
        <v/>
      </c>
    </row>
    <row r="26" ht="15.75" customHeight="1" s="45"/>
    <row r="27" ht="15.75" customHeight="1" s="45">
      <c r="A27" s="7" t="inlineStr">
        <is>
          <t>BREAKEVEN CONTAINMENT — ngưỡng sống còn</t>
        </is>
      </c>
      <c r="B27" s="10" t="n"/>
      <c r="C27" s="10" t="n"/>
      <c r="D27" s="10" t="n"/>
      <c r="E27" s="10" t="n"/>
      <c r="F27" s="10" t="n"/>
      <c r="G27" s="10" t="n"/>
      <c r="H27" s="10" t="n"/>
    </row>
    <row r="28" ht="15.75" customHeight="1" s="45">
      <c r="A28" s="17" t="inlineStr">
        <is>
          <t>Ký hiệu: v = chi phí biến đổi / job thử · q = QA / job thử · e = chi phí 1 ca escalate</t>
        </is>
      </c>
    </row>
    <row r="29" ht="15.75" customHeight="1" s="45">
      <c r="A29" s="14" t="inlineStr">
        <is>
          <t>v — chi phí biến đổi / job thử</t>
        </is>
      </c>
      <c r="B29" s="20">
        <f>'1_Cost_Job'!B31+'1_Cost_Job'!B38+'1_Cost_Job'!B43+'1_Cost_Job'!B47</f>
        <v/>
      </c>
    </row>
    <row r="30" ht="15.75" customHeight="1" s="45">
      <c r="A30" s="14" t="inlineStr">
        <is>
          <t>q — QA nội bộ / job thử</t>
        </is>
      </c>
      <c r="B30" s="20">
        <f>'1_Cost_Job'!B51*('1_Cost_Job'!B52/60)*'1_Cost_Job'!B50</f>
        <v/>
      </c>
    </row>
    <row r="31" ht="15.75" customHeight="1" s="45">
      <c r="A31" s="14" t="inlineStr">
        <is>
          <t>e — chi phí 1 ca escalate</t>
        </is>
      </c>
      <c r="B31" s="20">
        <f>IF('1_Cost_Job'!B6="B",('1_Cost_Job'!B53/60)*'1_Cost_Job'!B50,0)</f>
        <v/>
      </c>
    </row>
    <row r="32" ht="15.75" customHeight="1" s="45">
      <c r="A32" s="14" t="inlineStr">
        <is>
          <t>Gross Margin mục tiêu</t>
        </is>
      </c>
      <c r="B32" s="16" t="n">
        <v>0.6</v>
      </c>
    </row>
    <row r="33" ht="15.75" customHeight="1" s="45">
      <c r="A33" s="12" t="inlineStr">
        <is>
          <t>★ Containment tối thiểu cần đạt</t>
        </is>
      </c>
      <c r="B33" s="31">
        <f>IF((B19*(1-B32)+B31)=0,0,(B29+B30+B31)/(B19*(1-B32)+B31))</f>
        <v/>
      </c>
      <c r="D33" s="17" t="inlineStr">
        <is>
          <t>Công thức: R ≥ (v+q+e) / (P×(1−GM)+e)</t>
        </is>
      </c>
    </row>
    <row r="34" ht="15.75" customHeight="1" s="45">
      <c r="A34" s="14" t="inlineStr">
        <is>
          <t>Containment hiện tại (từ tab 1)</t>
        </is>
      </c>
      <c r="B34" s="34">
        <f>'1_Cost_Job'!B10</f>
        <v/>
      </c>
    </row>
    <row r="35" ht="15.75" customHeight="1" s="45">
      <c r="A35" s="14" t="inlineStr">
        <is>
          <t>→ Kết luận</t>
        </is>
      </c>
      <c r="B35" s="8">
        <f>IF(B34&gt;=B33,"ĐẠT — mô hình có lãi lành mạnh","CHƯA ĐẠT — phải tăng containment, tăng giá, hoặc đổi biến thể HITL")</f>
        <v/>
      </c>
    </row>
    <row r="36" ht="15.75" customHeight="1" s="45"/>
    <row r="37" ht="15.75" customHeight="1" s="45">
      <c r="A37" s="7" t="inlineStr">
        <is>
          <t>SENSITIVITY — mô hình gãy ở đâu?</t>
        </is>
      </c>
      <c r="B37" s="10" t="n"/>
      <c r="C37" s="10" t="n"/>
      <c r="D37" s="10" t="n"/>
      <c r="E37" s="10" t="n"/>
      <c r="F37" s="10" t="n"/>
      <c r="G37" s="10" t="n"/>
      <c r="H37" s="10" t="n"/>
    </row>
    <row r="38" ht="15.75" customHeight="1" s="45">
      <c r="A38" s="27" t="inlineStr">
        <is>
          <t>Containment</t>
        </is>
      </c>
      <c r="B38" s="27" t="inlineStr">
        <is>
          <t>Cost/Job</t>
        </is>
      </c>
      <c r="C38" s="27" t="inlineStr">
        <is>
          <t>Gross Margin</t>
        </is>
      </c>
      <c r="D38" s="27" t="inlineStr">
        <is>
          <t>Đánh giá</t>
        </is>
      </c>
    </row>
    <row r="39" ht="15.75" customHeight="1" s="45">
      <c r="A39" s="40" t="n">
        <v>0.5</v>
      </c>
      <c r="B39" s="24">
        <f>($B$29+$B$30+$B$31*(1-A39))/A39</f>
        <v/>
      </c>
      <c r="C39" s="28">
        <f>IF($B$19=0,0,1-B39/$B$19)</f>
        <v/>
      </c>
      <c r="D39" s="8">
        <f>IF(C39&gt;=0.6,"An toàn",IF(C39&gt;=0.5,"Cảnh báo","Nguy hiểm"))</f>
        <v/>
      </c>
    </row>
    <row r="40" ht="15.75" customHeight="1" s="45">
      <c r="A40" s="40" t="n">
        <v>0.6</v>
      </c>
      <c r="B40" s="24">
        <f>($B$29+$B$30+$B$31*(1-A40))/A40</f>
        <v/>
      </c>
      <c r="C40" s="28">
        <f>IF($B$19=0,0,1-B40/$B$19)</f>
        <v/>
      </c>
      <c r="D40" s="8">
        <f>IF(C40&gt;=0.6,"An toàn",IF(C40&gt;=0.5,"Cảnh báo","Nguy hiểm"))</f>
        <v/>
      </c>
    </row>
    <row r="41" ht="15.75" customHeight="1" s="45">
      <c r="A41" s="40" t="n">
        <v>0.7</v>
      </c>
      <c r="B41" s="24">
        <f>($B$29+$B$30+$B$31*(1-A41))/A41</f>
        <v/>
      </c>
      <c r="C41" s="28">
        <f>IF($B$19=0,0,1-B41/$B$19)</f>
        <v/>
      </c>
      <c r="D41" s="8">
        <f>IF(C41&gt;=0.6,"An toàn",IF(C41&gt;=0.5,"Cảnh báo","Nguy hiểm"))</f>
        <v/>
      </c>
    </row>
    <row r="42" ht="15.75" customHeight="1" s="45">
      <c r="A42" s="40" t="n">
        <v>0.8</v>
      </c>
      <c r="B42" s="24">
        <f>($B$29+$B$30+$B$31*(1-A42))/A42</f>
        <v/>
      </c>
      <c r="C42" s="28">
        <f>IF($B$19=0,0,1-B42/$B$19)</f>
        <v/>
      </c>
      <c r="D42" s="8">
        <f>IF(C42&gt;=0.6,"An toàn",IF(C42&gt;=0.5,"Cảnh báo","Nguy hiểm"))</f>
        <v/>
      </c>
    </row>
    <row r="43" ht="15.75" customHeight="1" s="45">
      <c r="A43" s="40" t="n">
        <v>0.9</v>
      </c>
      <c r="B43" s="24">
        <f>($B$29+$B$30+$B$31*(1-A43))/A43</f>
        <v/>
      </c>
      <c r="C43" s="28">
        <f>IF($B$19=0,0,1-B43/$B$19)</f>
        <v/>
      </c>
      <c r="D43" s="8">
        <f>IF(C43&gt;=0.6,"An toàn",IF(C43&gt;=0.5,"Cảnh báo","Nguy hiểm"))</f>
        <v/>
      </c>
    </row>
    <row r="44" ht="15.75" customHeight="1" s="45">
      <c r="A44" s="40" t="n">
        <v>0.95</v>
      </c>
      <c r="B44" s="24">
        <f>($B$29+$B$30+$B$31*(1-A44))/A44</f>
        <v/>
      </c>
      <c r="C44" s="28">
        <f>IF($B$19=0,0,1-B44/$B$19)</f>
        <v/>
      </c>
      <c r="D44" s="8">
        <f>IF(C44&gt;=0.6,"An toàn",IF(C44&gt;=0.5,"Cảnh báo","Nguy hiểm"))</f>
        <v/>
      </c>
    </row>
    <row r="45" ht="15.75" customHeight="1" s="45"/>
    <row r="46" ht="15.75" customHeight="1" s="45">
      <c r="A46" s="17" t="inlineStr">
        <is>
          <t>Nhìn cột Gross Margin: mô hình của bạn mong manh đến mức nào khi AI làm sai nhiều hơn dự kiến?</t>
        </is>
      </c>
    </row>
    <row r="47" ht="15.75" customHeight="1" s="45"/>
    <row r="48" ht="15.75" customHeight="1" s="45">
      <c r="A48" s="7" t="inlineStr">
        <is>
          <t>5 CON SỐ PHẢI MANG SANG ONE-PAGER</t>
        </is>
      </c>
      <c r="B48" s="10" t="n"/>
      <c r="C48" s="10" t="n"/>
      <c r="D48" s="10" t="n"/>
      <c r="E48" s="10" t="n"/>
      <c r="F48" s="10" t="n"/>
      <c r="G48" s="10" t="n"/>
      <c r="H48" s="10" t="n"/>
    </row>
    <row r="49" ht="15.75" customHeight="1" s="45">
      <c r="A49" s="12" t="inlineStr">
        <is>
          <t>Cost/Job</t>
        </is>
      </c>
      <c r="B49" s="23">
        <f>B5</f>
        <v/>
      </c>
    </row>
    <row r="50" ht="15.75" customHeight="1" s="45">
      <c r="A50" s="12" t="inlineStr">
        <is>
          <t>Giá sàn (3×)</t>
        </is>
      </c>
      <c r="B50" s="23">
        <f>B7</f>
        <v/>
      </c>
    </row>
    <row r="51" ht="15.75" customHeight="1" s="45">
      <c r="A51" s="12" t="inlineStr">
        <is>
          <t>Giá bán đề xuất</t>
        </is>
      </c>
      <c r="B51" s="23">
        <f>B19</f>
        <v/>
      </c>
    </row>
    <row r="52" ht="15.75" customHeight="1" s="45">
      <c r="A52" s="12" t="inlineStr">
        <is>
          <t>Gross Margin</t>
        </is>
      </c>
      <c r="B52" s="31">
        <f>B21</f>
        <v/>
      </c>
    </row>
    <row r="53" ht="15.75" customHeight="1" s="45">
      <c r="A53" s="12" t="inlineStr">
        <is>
          <t>Breakeven containment</t>
        </is>
      </c>
      <c r="B53" s="31">
        <f>B33</f>
        <v/>
      </c>
    </row>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ColWidth="14.43" defaultRowHeight="15" customHeight="1"/>
  <cols>
    <col width="72" customWidth="1" style="45" min="1" max="1"/>
    <col width="12" customWidth="1" style="45" min="2" max="2"/>
    <col width="50" customWidth="1" style="45" min="3" max="3"/>
    <col width="46" customWidth="1" style="45" min="4" max="4"/>
    <col width="15" customWidth="1" style="45" min="5" max="8"/>
    <col width="8.710000000000001" customWidth="1" style="45" min="9" max="26"/>
  </cols>
  <sheetData>
    <row r="1" ht="24" customHeight="1" s="45">
      <c r="A1" s="1" t="inlineStr">
        <is>
          <t>TAB 3 — VALUE METRIC SCORECARD</t>
        </is>
      </c>
      <c r="B1" s="2" t="n"/>
      <c r="C1" s="2" t="n"/>
      <c r="D1" s="2" t="n"/>
      <c r="E1" s="2" t="n"/>
      <c r="F1" s="2" t="n"/>
      <c r="G1" s="2" t="n"/>
      <c r="H1" s="2" t="n"/>
    </row>
    <row r="2">
      <c r="A2" s="17" t="inlineStr">
        <is>
          <t>Trạm 2. Chấm 0 / 1 / 2 điểm cho mỗi câu, theo THỰC TẾ HÔM NAY.</t>
        </is>
      </c>
    </row>
    <row r="4">
      <c r="A4" s="7" t="inlineStr">
        <is>
          <t>A. ATTRIBUTION — bạn đo được kết quả là do AI tạo ra không?</t>
        </is>
      </c>
      <c r="B4" s="10" t="n"/>
      <c r="C4" s="10" t="n"/>
      <c r="D4" s="10" t="n"/>
      <c r="E4" s="10" t="n"/>
      <c r="F4" s="10" t="n"/>
      <c r="G4" s="10" t="n"/>
      <c r="H4" s="10" t="n"/>
    </row>
    <row r="5">
      <c r="A5" s="14" t="inlineStr">
        <is>
          <t>1. Tôi có log đầy đủ mỗi job AI xử lý, gắn được với kết quả cuối cùng</t>
        </is>
      </c>
      <c r="B5" s="13" t="n">
        <v>2</v>
      </c>
    </row>
    <row r="6">
      <c r="A6" s="14" t="inlineStr">
        <is>
          <t>2. Tôi có bộ eval đo được tỷ lệ AI làm đúng, có số liệu</t>
        </is>
      </c>
      <c r="B6" s="13" t="n">
        <v>2</v>
      </c>
    </row>
    <row r="7">
      <c r="A7" s="14" t="inlineStr">
        <is>
          <t>3. Khách hàng đồng ý với cách tôi định nghĩa 'thành công' của một job</t>
        </is>
      </c>
      <c r="B7" s="13" t="n">
        <v>2</v>
      </c>
    </row>
    <row r="8">
      <c r="A8" s="14" t="inlineStr">
        <is>
          <t>4. Tôi phân biệt được kết quả do AI tạo ra với kết quả do yếu tố khác</t>
        </is>
      </c>
      <c r="B8" s="13" t="n">
        <v>1</v>
      </c>
    </row>
    <row r="9">
      <c r="A9" s="14" t="inlineStr">
        <is>
          <t>5. Tôi viết được định nghĩa chặt như Intercom: cái gì tính tiền, cái gì không</t>
        </is>
      </c>
      <c r="B9" s="13" t="n">
        <v>2</v>
      </c>
    </row>
    <row r="10">
      <c r="A10" s="12" t="inlineStr">
        <is>
          <t>→ ĐIỂM ATTRIBUTION (tối đa 10)</t>
        </is>
      </c>
      <c r="B10" s="18">
        <f>SUM(B5:B9)</f>
        <v/>
      </c>
    </row>
    <row r="12">
      <c r="A12" s="7" t="inlineStr">
        <is>
          <t>B. AUTONOMY — AI tự chạy hay cần người?</t>
        </is>
      </c>
      <c r="B12" s="10" t="n"/>
      <c r="C12" s="10" t="n"/>
      <c r="D12" s="10" t="n"/>
      <c r="E12" s="10" t="n"/>
      <c r="F12" s="10" t="n"/>
      <c r="G12" s="10" t="n"/>
      <c r="H12" s="10" t="n"/>
    </row>
    <row r="13">
      <c r="A13" s="14" t="inlineStr">
        <is>
          <t>1. AI hoàn thành job từ đầu đến cuối, không cần người bấm nút giữa chừng</t>
        </is>
      </c>
      <c r="B13" s="13" t="n">
        <v>2</v>
      </c>
    </row>
    <row r="14">
      <c r="A14" s="14" t="inlineStr">
        <is>
          <t>2. Job chạy được ngoài giờ hành chính mà không ai trực</t>
        </is>
      </c>
      <c r="B14" s="13" t="n">
        <v>2</v>
      </c>
    </row>
    <row r="15">
      <c r="A15" s="14" t="inlineStr">
        <is>
          <t>3. Khi AI không chắc, nó tự chuyển tiếp đúng chỗ — không cần người phân loại</t>
        </is>
      </c>
      <c r="B15" s="13" t="n">
        <v>2</v>
      </c>
    </row>
    <row r="16">
      <c r="A16" s="14" t="inlineStr">
        <is>
          <t>4. Tỷ lệ ca phải có người can thiệp dưới 20%</t>
        </is>
      </c>
      <c r="B16" s="13" t="n">
        <v>2</v>
      </c>
    </row>
    <row r="17">
      <c r="A17" s="14" t="inlineStr">
        <is>
          <t>5. Người vận hành chỉ kiểm tra mẫu (QA), không xử lý từng ca</t>
        </is>
      </c>
      <c r="B17" s="13" t="n">
        <v>1</v>
      </c>
    </row>
    <row r="18">
      <c r="A18" s="12" t="inlineStr">
        <is>
          <t>→ ĐIỂM AUTONOMY (tối đa 10)</t>
        </is>
      </c>
      <c r="B18" s="18">
        <f>SUM(B13:B17)</f>
        <v/>
      </c>
    </row>
    <row r="20">
      <c r="A20" s="7" t="inlineStr">
        <is>
          <t>GỢI Ý CỦA MODEL</t>
        </is>
      </c>
      <c r="B20" s="10" t="n"/>
      <c r="C20" s="10" t="n"/>
      <c r="D20" s="10" t="n"/>
      <c r="E20" s="10" t="n"/>
      <c r="F20" s="10" t="n"/>
      <c r="G20" s="10" t="n"/>
      <c r="H20" s="10" t="n"/>
    </row>
    <row r="21" ht="15.75" customHeight="1" s="45">
      <c r="A21" s="12" t="inlineStr">
        <is>
          <t>→ Value Metric gợi ý</t>
        </is>
      </c>
      <c r="B21" s="26">
        <f>IF(AND(B10&gt;=7,B18&gt;=7),"OUTCOME",IF(AND(B10&gt;=7,B18&lt;7),"USAGE",IF(AND(B10&lt;7,B18&gt;=7),"USAGE (an toàn)","SEAT hoặc HYBRID")))</f>
        <v/>
      </c>
    </row>
    <row r="22" ht="15.75" customHeight="1" s="45">
      <c r="A22" s="17" t="inlineStr">
        <is>
          <t>Ngưỡng 7/10 là quy ước của bài tập, không phải chuẩn ngành — dùng để buộc bạn ra quyết định, không phải để thay bạn quyết định.</t>
        </is>
      </c>
    </row>
    <row r="23" ht="15.75" customHeight="1" s="45"/>
    <row r="24" ht="15.75" customHeight="1" s="45">
      <c r="A24" s="7" t="inlineStr">
        <is>
          <t>BENCHMARK NGƯỢC — 2 sản phẩm thật cùng loại job</t>
        </is>
      </c>
      <c r="B24" s="10" t="n"/>
      <c r="C24" s="10" t="n"/>
      <c r="D24" s="10" t="n"/>
      <c r="E24" s="10" t="n"/>
      <c r="F24" s="10" t="n"/>
      <c r="G24" s="10" t="n"/>
      <c r="H24" s="10" t="n"/>
    </row>
    <row r="25" ht="15.75" customHeight="1" s="45">
      <c r="A25" s="27" t="inlineStr">
        <is>
          <t>Tên sản phẩm</t>
        </is>
      </c>
      <c r="B25" s="27" t="inlineStr">
        <is>
          <t>Value Metric</t>
        </is>
      </c>
      <c r="C25" s="27" t="inlineStr">
        <is>
          <t>Giá công bố</t>
        </is>
      </c>
      <c r="D25" s="27" t="inlineStr">
        <is>
          <t>Link nguồn</t>
        </is>
      </c>
    </row>
    <row r="26" ht="15.75" customHeight="1" s="45">
      <c r="A26" s="5" t="inlineStr">
        <is>
          <t>Intercom Fin</t>
        </is>
      </c>
      <c r="B26" s="5" t="inlineStr">
        <is>
          <t>Outcome</t>
        </is>
      </c>
      <c r="C26" s="5" t="inlineStr">
        <is>
          <t>$0.99 / resolution</t>
        </is>
      </c>
      <c r="D26" s="5" t="inlineStr">
        <is>
          <t>https://fin.ai/pricing</t>
        </is>
      </c>
    </row>
    <row r="27" ht="15.75" customHeight="1" s="45">
      <c r="A27" s="5" t="inlineStr">
        <is>
          <t>Zendesk AI Agent</t>
        </is>
      </c>
      <c r="B27" s="5" t="inlineStr">
        <is>
          <t>Outcome</t>
        </is>
      </c>
      <c r="C27" s="5" t="inlineStr">
        <is>
          <t>$1.50 / resolution</t>
        </is>
      </c>
      <c r="D27" s="5" t="inlineStr">
        <is>
          <t>https://www.zendesk.com/blog/ai/agentic-ai/outcome-based-pricing/</t>
        </is>
      </c>
    </row>
    <row r="28" ht="15.75" customHeight="1" s="45"/>
    <row r="29" ht="15.75" customHeight="1" s="45">
      <c r="A29" s="7" t="inlineStr">
        <is>
          <t>QUYẾT ĐỊNH CUỐI</t>
        </is>
      </c>
      <c r="B29" s="10" t="n"/>
      <c r="C29" s="10" t="n"/>
      <c r="D29" s="10" t="n"/>
      <c r="E29" s="10" t="n"/>
      <c r="F29" s="10" t="n"/>
      <c r="G29" s="10" t="n"/>
      <c r="H29" s="10" t="n"/>
    </row>
    <row r="30" ht="15.75" customHeight="1" s="45">
      <c r="A30" s="14" t="inlineStr">
        <is>
          <t>Value Metric tôi chọn</t>
        </is>
      </c>
      <c r="B30" s="5" t="inlineStr">
        <is>
          <t>Outcome</t>
        </is>
      </c>
    </row>
    <row r="31" ht="15.75" customHeight="1" s="45">
      <c r="A31" s="14" t="inlineStr">
        <is>
          <t>Nếu KHÁC gợi ý — lý do thị trường là gì?</t>
        </is>
      </c>
      <c r="B31" s="5" t="inlineStr">
        <is>
          <t>SME Việt Nam dần quen trả phí theo kết quả xử lý thực tế (Outcome) để thấy ngay hiệu quả ROI so với chi phí thuê nhân viên trực ca đêm.</t>
        </is>
      </c>
    </row>
    <row r="32" ht="15.75" customHeight="1" s="45">
      <c r="A32" s="14" t="inlineStr">
        <is>
          <t>Decision Note — câu 1: tôi chọn đơn vị nào?</t>
        </is>
      </c>
      <c r="B32" s="5" t="inlineStr">
        <is>
          <t>Tôi chọn đơn vị Outcome ($0.99 / ticket resolved). Khách chỉ trả tiền khi ticket được AI giải quyết hoàn tất mà không cần can thiệp của người.</t>
        </is>
      </c>
    </row>
    <row r="33" ht="15.75" customHeight="1" s="45">
      <c r="A33" s="14" t="inlineStr">
        <is>
          <t>Decision Note — câu 2: bằng chứng Attribution / Autonomy?</t>
        </is>
      </c>
      <c r="B33" s="5" t="inlineStr">
        <is>
          <t>Bằng chứng: Attribution đạt 9/10, Autonomy đạt 9/10; bộ Eval 500 test cases đạt độ chính xác 94.2% và tỷ lệ tự xử lý (containment) đạt 82%.</t>
        </is>
      </c>
    </row>
    <row r="34" ht="15.75" customHeight="1" s="45">
      <c r="A34" s="14" t="inlineStr">
        <is>
          <t>Decision Note — câu 3: mô hình này lỗ trong tình huống nào?</t>
        </is>
      </c>
      <c r="B34" s="5" t="inlineStr">
        <is>
          <t>Mô hình sẽ lỗ nếu containment rate giảm xuống dưới 72.7% (Breakeven containment), khiến chi phí HITL cho ca escalate ăn mồi vào Gross Margin.</t>
        </is>
      </c>
    </row>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ColWidth="14.43" defaultRowHeight="15" customHeight="1"/>
  <cols>
    <col width="46" customWidth="1" style="45" min="1" max="1"/>
    <col width="16" customWidth="1" style="45" min="2" max="3"/>
    <col width="54" customWidth="1" style="45" min="4" max="4"/>
    <col width="15" customWidth="1" style="45" min="5" max="8"/>
    <col width="8.710000000000001" customWidth="1" style="45" min="9" max="26"/>
  </cols>
  <sheetData>
    <row r="1" ht="24" customHeight="1" s="45">
      <c r="A1" s="1" t="inlineStr">
        <is>
          <t>TAB 4 — CHANNEL FIT &amp; AFFORDABILITY TEST</t>
        </is>
      </c>
      <c r="B1" s="2" t="n"/>
      <c r="C1" s="2" t="n"/>
      <c r="D1" s="2" t="n"/>
      <c r="E1" s="2" t="n"/>
      <c r="F1" s="2" t="n"/>
      <c r="G1" s="2" t="n"/>
      <c r="H1" s="2" t="n"/>
    </row>
    <row r="2">
      <c r="A2" s="17" t="inlineStr">
        <is>
          <t>Trạm 4. Chọn ĐÚNG 1 kênh cho 90 ngày đầu — và chứng minh bằng số.</t>
        </is>
      </c>
    </row>
    <row r="4">
      <c r="A4" s="7" t="inlineStr">
        <is>
          <t>A. NGÂN SÁCH CAC — bạn nuôi nổi kênh nào?</t>
        </is>
      </c>
      <c r="B4" s="10" t="n"/>
      <c r="C4" s="10" t="n"/>
      <c r="D4" s="10" t="n"/>
      <c r="E4" s="10" t="n"/>
      <c r="F4" s="10" t="n"/>
      <c r="G4" s="10" t="n"/>
      <c r="H4" s="10" t="n"/>
    </row>
    <row r="5">
      <c r="A5" s="14" t="inlineStr">
        <is>
          <t>ARPU / tháng ($)</t>
        </is>
      </c>
      <c r="B5" s="25" t="n">
        <v>200</v>
      </c>
    </row>
    <row r="6">
      <c r="A6" s="14" t="inlineStr">
        <is>
          <t>Gross Margin (từ tab 2_Pricing)</t>
        </is>
      </c>
      <c r="B6" s="34">
        <f>'2_Pricing'!B21</f>
        <v/>
      </c>
    </row>
    <row r="7">
      <c r="A7" s="14" t="inlineStr">
        <is>
          <t>Phân khúc (SMB / Mid / Enterprise)</t>
        </is>
      </c>
      <c r="B7" s="13" t="inlineStr">
        <is>
          <t>SMB</t>
        </is>
      </c>
    </row>
    <row r="8">
      <c r="A8" s="14" t="inlineStr">
        <is>
          <t>→ CAC payback cho phép (tháng)</t>
        </is>
      </c>
      <c r="B8" s="19">
        <f>IF(B7="SMB",12,IF(B7="Mid",18,24))</f>
        <v/>
      </c>
      <c r="C8" s="17" t="inlineStr">
        <is>
          <t>tháng</t>
        </is>
      </c>
      <c r="D8" s="17" t="inlineStr">
        <is>
          <t>Bessemer, Scaling to $100M (2024)</t>
        </is>
      </c>
    </row>
    <row r="9">
      <c r="A9" s="12" t="inlineStr">
        <is>
          <t>★ NGÂN SÁCH CAC / khách</t>
        </is>
      </c>
      <c r="B9" s="35">
        <f>B5*B6*B8</f>
        <v/>
      </c>
      <c r="D9" s="17" t="inlineStr">
        <is>
          <t>ARPU × GM × số tháng payback</t>
        </is>
      </c>
    </row>
    <row r="10">
      <c r="A10" s="14" t="inlineStr">
        <is>
          <t>→ ACV (giá trị hợp đồng / năm)</t>
        </is>
      </c>
      <c r="B10" s="37">
        <f>B5*12</f>
        <v/>
      </c>
    </row>
    <row r="12">
      <c r="A12" s="7" t="inlineStr">
        <is>
          <t>B. SALES VIABILITY — một AE phải chốt bao nhiêu deal?</t>
        </is>
      </c>
      <c r="B12" s="10" t="n"/>
      <c r="C12" s="10" t="n"/>
      <c r="D12" s="10" t="n"/>
      <c r="E12" s="10" t="n"/>
      <c r="F12" s="10" t="n"/>
      <c r="G12" s="10" t="n"/>
      <c r="H12" s="10" t="n"/>
    </row>
    <row r="13">
      <c r="A13" s="14" t="inlineStr">
        <is>
          <t>Quota / AE / năm ($)</t>
        </is>
      </c>
      <c r="B13" s="25" t="n">
        <v>500000</v>
      </c>
      <c r="D13" s="17" t="inlineStr">
        <is>
          <t>Giả định gốc của Tunguz (2016) — thay bằng số thị trường bạn</t>
        </is>
      </c>
    </row>
    <row r="14">
      <c r="A14" s="14" t="inlineStr">
        <is>
          <t>Số ngày làm việc / năm</t>
        </is>
      </c>
      <c r="B14" s="15" t="n">
        <v>250</v>
      </c>
      <c r="C14" s="17" t="inlineStr">
        <is>
          <t>ngày</t>
        </is>
      </c>
    </row>
    <row r="15">
      <c r="A15" s="14" t="inlineStr">
        <is>
          <t>→ Số deal / AE / năm</t>
        </is>
      </c>
      <c r="B15" s="19">
        <f>IF(B10=0,0,B13/B10)</f>
        <v/>
      </c>
    </row>
    <row r="16">
      <c r="A16" s="12" t="inlineStr">
        <is>
          <t>★ Số deal / AE / NGÀY</t>
        </is>
      </c>
      <c r="B16" s="38">
        <f>IF(B14=0,0,B15/B14)</f>
        <v/>
      </c>
      <c r="C16" s="17" t="inlineStr">
        <is>
          <t>deal/ngày</t>
        </is>
      </c>
    </row>
    <row r="17">
      <c r="A17" s="14" t="inlineStr">
        <is>
          <t>→ Kết luận Sales-Led</t>
        </is>
      </c>
      <c r="B17" s="8">
        <f>IF(B16&lt;=1,"KHẢ THI về mặt số học","BẤT KHẢ THI — ACV quá thấp để nuôi sales rep")</f>
        <v/>
      </c>
    </row>
    <row r="19">
      <c r="A19" s="7" t="inlineStr">
        <is>
          <t>C. ĐỐI CHIẾU CAC THỰC TẾ CỦA MOTION CÓ SALES</t>
        </is>
      </c>
      <c r="B19" s="10" t="n"/>
      <c r="C19" s="10" t="n"/>
      <c r="D19" s="10" t="n"/>
      <c r="E19" s="10" t="n"/>
      <c r="F19" s="10" t="n"/>
      <c r="G19" s="10" t="n"/>
      <c r="H19" s="10" t="n"/>
    </row>
    <row r="20">
      <c r="A20" s="14" t="inlineStr">
        <is>
          <t>Cost per opportunity ($)</t>
        </is>
      </c>
      <c r="B20" s="25" t="n">
        <v>8000</v>
      </c>
      <c r="D20" s="17" t="inlineStr">
        <is>
          <t>ICONIQ 2026 theo phân khúc: $6.300 · $8.000 · $11.200</t>
        </is>
      </c>
    </row>
    <row r="21" ht="15.75" customHeight="1" s="45">
      <c r="A21" s="14" t="inlineStr">
        <is>
          <t>Win rate</t>
        </is>
      </c>
      <c r="B21" s="16" t="n">
        <v>0.25</v>
      </c>
    </row>
    <row r="22" ht="15.75" customHeight="1" s="45">
      <c r="A22" s="14" t="inlineStr">
        <is>
          <t>→ CAC thực tế ước tính / khách</t>
        </is>
      </c>
      <c r="B22" s="37">
        <f>IF(B21=0,0,B20/B21)</f>
        <v/>
      </c>
    </row>
    <row r="23" ht="15.75" customHeight="1" s="45">
      <c r="A23" s="12" t="inlineStr">
        <is>
          <t>★ Lệch bao nhiêu lần so với ngân sách CAC?</t>
        </is>
      </c>
      <c r="B23" s="39">
        <f>IF(B9=0,0,B22/B9)</f>
        <v/>
      </c>
      <c r="D23" s="17" t="inlineStr">
        <is>
          <t>Đây là bằng chứng chọn kênh của bạn</t>
        </is>
      </c>
    </row>
    <row r="24" ht="15.75" customHeight="1" s="45">
      <c r="A24" s="14" t="inlineStr">
        <is>
          <t>→ Kết luận</t>
        </is>
      </c>
      <c r="B24" s="8">
        <f>IF(B23&lt;=1,"Motion có sales KHẢ THI",IF(B23&lt;=3,"Căng — cần tăng giá hoặc giảm chi phí bán hàng","KHÔNG KHẢ THI — đi PLG hoặc Partner-Led"))</f>
        <v/>
      </c>
    </row>
    <row r="25" ht="15.75" customHeight="1" s="45"/>
    <row r="26" ht="15.75" customHeight="1" s="45">
      <c r="A26" s="7" t="inlineStr">
        <is>
          <t>D. CHẤM ĐIỂM 3 KÊNH (1 = rất kém, 5 = rất tốt)</t>
        </is>
      </c>
      <c r="B26" s="10" t="n"/>
      <c r="C26" s="10" t="n"/>
      <c r="D26" s="10" t="n"/>
      <c r="E26" s="10" t="n"/>
      <c r="F26" s="10" t="n"/>
      <c r="G26" s="10" t="n"/>
      <c r="H26" s="10" t="n"/>
    </row>
    <row r="27" ht="15.75" customHeight="1" s="45">
      <c r="A27" s="27" t="inlineStr">
        <is>
          <t>Tiêu chí</t>
        </is>
      </c>
      <c r="B27" s="27" t="inlineStr">
        <is>
          <t>PLG</t>
        </is>
      </c>
      <c r="C27" s="27" t="inlineStr">
        <is>
          <t>Sales-Led</t>
        </is>
      </c>
      <c r="D27" s="27" t="inlineStr">
        <is>
          <t>Partner-Led</t>
        </is>
      </c>
    </row>
    <row r="28" ht="15.75" customHeight="1" s="45">
      <c r="A28" s="14" t="inlineStr">
        <is>
          <t>1. Ngân sách CAC của tôi nuôi nổi kênh này</t>
        </is>
      </c>
      <c r="B28" s="13" t="n">
        <v>4</v>
      </c>
      <c r="C28" s="13" t="n">
        <v>1</v>
      </c>
      <c r="D28" s="13" t="n">
        <v>5</v>
      </c>
    </row>
    <row r="29" ht="15.75" customHeight="1" s="45">
      <c r="A29" s="14" t="inlineStr">
        <is>
          <t>2. Khách hàng mục tiêu thực sự mua theo cách này</t>
        </is>
      </c>
      <c r="B29" s="13" t="n">
        <v>3</v>
      </c>
      <c r="C29" s="13" t="n">
        <v>4</v>
      </c>
      <c r="D29" s="13" t="n">
        <v>5</v>
      </c>
    </row>
    <row r="30" ht="15.75" customHeight="1" s="45">
      <c r="A30" s="14" t="inlineStr">
        <is>
          <t>3. Đội hiện tại có năng lực chạy kênh này ngay</t>
        </is>
      </c>
      <c r="B30" s="13" t="n">
        <v>3</v>
      </c>
      <c r="C30" s="13" t="n">
        <v>2</v>
      </c>
      <c r="D30" s="13" t="n">
        <v>4</v>
      </c>
    </row>
    <row r="31" ht="15.75" customHeight="1" s="45">
      <c r="A31" s="14" t="inlineStr">
        <is>
          <t>4. Tôi tiếp cận được điểm nhúng / partner trong 30 ngày</t>
        </is>
      </c>
      <c r="B31" s="13" t="n">
        <v>3</v>
      </c>
      <c r="C31" s="13" t="n">
        <v>2</v>
      </c>
      <c r="D31" s="13" t="n">
        <v>5</v>
      </c>
    </row>
    <row r="32" ht="15.75" customHeight="1" s="45">
      <c r="A32" s="14" t="inlineStr">
        <is>
          <t>5. Kênh này đưa tôi đến ĐÚNG Pain Moment</t>
        </is>
      </c>
      <c r="B32" s="13" t="n">
        <v>4</v>
      </c>
      <c r="C32" s="13" t="n">
        <v>4</v>
      </c>
      <c r="D32" s="13" t="n">
        <v>5</v>
      </c>
    </row>
    <row r="33" ht="15.75" customHeight="1" s="45">
      <c r="A33" s="14" t="inlineStr">
        <is>
          <t>6. Tôi đo được hiệu quả trong vòng 90 ngày</t>
        </is>
      </c>
      <c r="B33" s="13" t="n">
        <v>4</v>
      </c>
      <c r="C33" s="13" t="n">
        <v>3</v>
      </c>
      <c r="D33" s="13" t="n">
        <v>4</v>
      </c>
    </row>
    <row r="34" ht="15.75" customHeight="1" s="45">
      <c r="A34" s="12" t="inlineStr">
        <is>
          <t>→ TỔNG ĐIỂM</t>
        </is>
      </c>
      <c r="B34" s="26">
        <f>SUM(B28:B33)</f>
        <v/>
      </c>
      <c r="C34" s="26">
        <f>SUM(C28:C33)</f>
        <v/>
      </c>
      <c r="D34" s="26">
        <f>SUM(D28:D33)</f>
        <v/>
      </c>
    </row>
    <row r="35" ht="15.75" customHeight="1" s="45">
      <c r="A35" s="12" t="inlineStr">
        <is>
          <t>→ Kênh điểm cao nhất</t>
        </is>
      </c>
      <c r="B35" s="26">
        <f>IF(AND(B34&gt;=C34,B34&gt;=D34),"PLG",IF(C34&gt;=D34,"Sales-Led","Partner-Led"))</f>
        <v/>
      </c>
    </row>
    <row r="36" ht="15.75" customHeight="1" s="45"/>
    <row r="37" ht="15.75" customHeight="1" s="45">
      <c r="A37" s="7" t="inlineStr">
        <is>
          <t>E. CHỐT KÊNH</t>
        </is>
      </c>
      <c r="B37" s="10" t="n"/>
      <c r="C37" s="10" t="n"/>
      <c r="D37" s="10" t="n"/>
      <c r="E37" s="10" t="n"/>
      <c r="F37" s="10" t="n"/>
      <c r="G37" s="10" t="n"/>
      <c r="H37" s="10" t="n"/>
    </row>
    <row r="38" ht="15.75" customHeight="1" s="45">
      <c r="A38" s="14" t="inlineStr">
        <is>
          <t>★ Kênh tôi chọn cho 90 ngày đầu</t>
        </is>
      </c>
      <c r="B38" s="5" t="inlineStr">
        <is>
          <t>Partner-Led</t>
        </is>
      </c>
      <c r="D38" s="17" t="inlineStr">
        <is>
          <t>ĐÚNG 1 kênh. Chọn 2 kênh trở lên bị trừ điểm.</t>
        </is>
      </c>
    </row>
    <row r="39" ht="15.75" customHeight="1" s="45">
      <c r="A39" s="14" t="inlineStr">
        <is>
          <t>Nếu Partner-Led: TÊN CÔNG TY partner</t>
        </is>
      </c>
      <c r="B39" s="5" t="inlineStr">
        <is>
          <t>Haravan &amp; Sapo (E-commerce Helpdesk &amp; App Store)</t>
        </is>
      </c>
      <c r="D39" s="17" t="inlineStr">
        <is>
          <t>'Các nền tảng trong ngành' = chưa có kênh</t>
        </is>
      </c>
    </row>
    <row r="40" ht="15.75" customHeight="1" s="45">
      <c r="A40" s="14" t="inlineStr">
        <is>
          <t>Đã nói chuyện với họ chưa? (Rồi / Chưa)</t>
        </is>
      </c>
      <c r="B40" s="5" t="inlineStr">
        <is>
          <t>Rồi</t>
        </is>
      </c>
    </row>
    <row r="41" ht="15.75" customHeight="1" s="45">
      <c r="A41" s="14" t="inlineStr">
        <is>
          <t>Bạn mang lại giá trị gì cho partner?</t>
        </is>
      </c>
      <c r="B41" s="5" t="inlineStr">
        <is>
          <t>Cung cấp giải pháp CSKH AI tự động 24/7 giúp gia tăng tỷ lệ chốt đơn và giữ chân khách hàng cho người bán trên sàn, chia sẻ 20% doanh thu subscription.</t>
        </is>
      </c>
    </row>
    <row r="42" ht="15.75" customHeight="1" s="45">
      <c r="A42" s="14" t="inlineStr">
        <is>
          <t>Nếu rơi vào vùng không khả thi — lối thoát nào?</t>
        </is>
      </c>
      <c r="B42" s="5" t="inlineStr">
        <is>
          <t>Partner-Led giúp bypass bài toán CAC $32,000/khách của Sales-Led. Nếu Partner-Led triển khai chậm, áp dụng PLG với gói dùng thử Self-serve Free Trial 14 ngày.</t>
        </is>
      </c>
      <c r="D42" s="17" t="inlineStr">
        <is>
          <t>Giảm giá để tự phục vụ / tăng giá + service / Partner-Led</t>
        </is>
      </c>
    </row>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dataValidations count="1">
    <dataValidation sqref="B7" showDropDown="0" showInputMessage="0" showErrorMessage="0" allowBlank="0" type="list">
      <formula1>"SMB,Mid,Enterprise"</formula1>
    </dataValidation>
  </dataValidation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ColWidth="14.43" defaultRowHeight="15" customHeight="1"/>
  <cols>
    <col width="30" customWidth="1" style="45" min="1" max="1"/>
    <col width="34" customWidth="1" style="45" min="2" max="4"/>
    <col width="15" customWidth="1" style="45" min="5" max="8"/>
    <col width="8.710000000000001" customWidth="1" style="45" min="9" max="26"/>
  </cols>
  <sheetData>
    <row r="1" ht="24" customHeight="1" s="45">
      <c r="A1" s="1" t="inlineStr">
        <is>
          <t>TAB 5 — PAIN MOMENT · 90-DAY PLAN · EVIDENCE PACK</t>
        </is>
      </c>
      <c r="B1" s="2" t="n"/>
      <c r="C1" s="2" t="n"/>
      <c r="D1" s="2" t="n"/>
      <c r="E1" s="2" t="n"/>
      <c r="F1" s="2" t="n"/>
      <c r="G1" s="2" t="n"/>
      <c r="H1" s="2" t="n"/>
    </row>
    <row r="2">
      <c r="A2" s="17" t="inlineStr">
        <is>
          <t>Trạm 5 và Trạm 6.</t>
        </is>
      </c>
    </row>
    <row r="4">
      <c r="A4" s="7" t="inlineStr">
        <is>
          <t>A. PAIN MOMENT — phải đủ 3 phần</t>
        </is>
      </c>
      <c r="B4" s="10" t="n"/>
      <c r="C4" s="10" t="n"/>
      <c r="D4" s="10" t="n"/>
      <c r="E4" s="10" t="n"/>
      <c r="F4" s="10" t="n"/>
      <c r="G4" s="10" t="n"/>
      <c r="H4" s="10" t="n"/>
    </row>
    <row r="5">
      <c r="A5" s="14" t="inlineStr">
        <is>
          <t>MẤY GIỜ khách đau nhất?</t>
        </is>
      </c>
      <c r="B5" s="5" t="inlineStr">
        <is>
          <t>22h00 – 02h00 sáng hàng ngày (ngoài giờ hành chính)</t>
        </is>
      </c>
    </row>
    <row r="6">
      <c r="A6" s="14" t="inlineStr">
        <is>
          <t>Lúc đó họ ĐANG LÀM GÌ?</t>
        </is>
      </c>
      <c r="B6" s="5" t="inlineStr">
        <is>
          <t>Khách hàng nhắn tin hỏi tư vấn sản phẩm, phí ship, chính sách đổi trả hoặc kiểm tra trạng thái đơn hàng</t>
        </is>
      </c>
    </row>
    <row r="7">
      <c r="A7" s="14" t="inlineStr">
        <is>
          <t>Họ đang DÙNG APP / KÊNH NÀO?</t>
        </is>
      </c>
      <c r="B7" s="5" t="inlineStr">
        <is>
          <t>Zalo Official Account, Messenger Fanpage và Live Chat tích hợp trên website Haravan/Sapo</t>
        </is>
      </c>
    </row>
    <row r="8">
      <c r="A8" s="14" t="inlineStr">
        <is>
          <t>→ Điểm nhúng cụ thể của bạn</t>
        </is>
      </c>
      <c r="B8" s="5" t="inlineStr">
        <is>
          <t>Haravan Omni-channel Helpdesk App Extension / Zalo OA Webhook Integration</t>
        </is>
      </c>
      <c r="D8" s="17" t="inlineStr">
        <is>
          <t>Một bề mặt tích hợp có tên, không phải 'website của chúng tôi'</t>
        </is>
      </c>
    </row>
    <row r="10">
      <c r="A10" s="7" t="inlineStr">
        <is>
          <t>B. 90-DAY PLAN</t>
        </is>
      </c>
      <c r="B10" s="10" t="n"/>
      <c r="C10" s="10" t="n"/>
      <c r="D10" s="10" t="n"/>
      <c r="E10" s="10" t="n"/>
      <c r="F10" s="10" t="n"/>
      <c r="G10" s="10" t="n"/>
      <c r="H10" s="10" t="n"/>
    </row>
    <row r="11">
      <c r="A11" s="27" t="n"/>
      <c r="B11" s="27" t="inlineStr">
        <is>
          <t>THÁNG 1 — Học</t>
        </is>
      </c>
      <c r="C11" s="27" t="inlineStr">
        <is>
          <t>THÁNG 2–3 — Đòn bẩy</t>
        </is>
      </c>
      <c r="D11" s="27" t="inlineStr">
        <is>
          <t>THÁNG 4+ — Mở rộng</t>
        </is>
      </c>
    </row>
    <row r="12" ht="30" customHeight="1" s="45">
      <c r="A12" s="14" t="inlineStr">
        <is>
          <t>Kênh sử dụng</t>
        </is>
      </c>
      <c r="B12" s="41" t="inlineStr">
        <is>
          <t>Sales-Led tận tay (Direct Pilot)</t>
        </is>
      </c>
      <c r="C12" s="41" t="inlineStr">
        <is>
          <t>Partner-Led (Haravan/Sapo App Store)</t>
        </is>
      </c>
      <c r="D12" s="41" t="inlineStr">
        <is>
          <t>Partner-Led + Referral</t>
        </is>
      </c>
    </row>
    <row r="13" ht="30" customHeight="1" s="45">
      <c r="A13" s="14" t="inlineStr">
        <is>
          <t>Mục tiêu số khách</t>
        </is>
      </c>
      <c r="B13" s="41" t="inlineStr">
        <is>
          <t>10 shop e-commerce pilot</t>
        </is>
      </c>
      <c r="C13" s="41" t="inlineStr">
        <is>
          <t>50 shop trả phí</t>
        </is>
      </c>
      <c r="D13" s="41" t="inlineStr">
        <is>
          <t>200 shop trả phí</t>
        </is>
      </c>
    </row>
    <row r="14" ht="30" customHeight="1" s="45">
      <c r="A14" s="14" t="inlineStr">
        <is>
          <t>Việc cụ thể 1</t>
        </is>
      </c>
      <c r="B14" s="41" t="inlineStr">
        <is>
          <t>Cài đặt tận tay &amp; phỏng vấn sâu 10 merchant đầu tiên</t>
        </is>
      </c>
      <c r="C14" s="41" t="inlineStr">
        <is>
          <t>Đăng ký App Marketplace Haravan &amp; Sapo</t>
        </is>
      </c>
      <c r="D14" s="41" t="inlineStr">
        <is>
          <t>Tích hợp thêm Zalo OA &amp; Tiktok Shop Center</t>
        </is>
      </c>
    </row>
    <row r="15" ht="30" customHeight="1" s="45">
      <c r="A15" s="14" t="inlineStr">
        <is>
          <t>Việc cụ thể 2</t>
        </is>
      </c>
      <c r="B15" s="41" t="inlineStr">
        <is>
          <t>Thu thập 500 mẫu ticket thực tế để tinh chỉnh Eval &amp; Prompt</t>
        </is>
      </c>
      <c r="C15" s="41" t="inlineStr">
        <is>
          <t>Chạy chương trình Co-marketing / Webinar với Haravan</t>
        </is>
      </c>
      <c r="D15" s="41" t="inlineStr">
        <is>
          <t>Mở rộng sang ngách Chuỗi bán lẻ / F&amp;B</t>
        </is>
      </c>
    </row>
    <row r="16" ht="30" customHeight="1" s="45">
      <c r="A16" s="14" t="inlineStr">
        <is>
          <t>Việc cụ thể 3</t>
        </is>
      </c>
      <c r="B16" s="41" t="inlineStr">
        <is>
          <t>Đóng gói Case Study &amp; Pilot Report chứng minh tiết kiệm 18.5tr/tháng</t>
        </is>
      </c>
      <c r="C16" s="41" t="inlineStr">
        <is>
          <t>Thiết lập chính sách chia sẻ 20% Doanh thu cho đại lý</t>
        </is>
      </c>
      <c r="D16" s="41" t="inlineStr">
        <is>
          <t>Tự động hóa hoàn toàn quy trình Onboarding</t>
        </is>
      </c>
    </row>
    <row r="17" ht="30" customHeight="1" s="45">
      <c r="A17" s="14" t="inlineStr">
        <is>
          <t>KPI đo được</t>
        </is>
      </c>
      <c r="B17" s="41" t="inlineStr">
        <is>
          <t>Containment Rate ≥ 82%, NPS ≥ 60</t>
        </is>
      </c>
      <c r="C17" s="41" t="inlineStr">
        <is>
          <t>50 Active Merchants, Conversion rate ≥ 15%</t>
        </is>
      </c>
      <c r="D17" s="41" t="inlineStr">
        <is>
          <t>200 Active Merchants, Churn rate &lt; 3%/tháng</t>
        </is>
      </c>
    </row>
    <row r="18" ht="30" customHeight="1" s="45">
      <c r="A18" s="14" t="inlineStr">
        <is>
          <t>Người chịu trách nhiệm</t>
        </is>
      </c>
      <c r="B18" s="41" t="inlineStr">
        <is>
          <t>Nguyễn Phạm Oanh Oanh (Founder/Product)</t>
        </is>
      </c>
      <c r="C18" s="41" t="inlineStr">
        <is>
          <t>GTM Lead / Partner Manager</t>
        </is>
      </c>
      <c r="D18" s="41" t="inlineStr">
        <is>
          <t>Head of Growth</t>
        </is>
      </c>
    </row>
    <row r="19">
      <c r="A19" s="17" t="inlineStr">
        <is>
          <t>Tháng 1 là giai đoạn HỌC, không phải scale. Kế hoạch 'tháng 1 lấy 200 khách ở 5 ngành' là kế hoạch chưa ai từng thử làm.</t>
        </is>
      </c>
    </row>
    <row r="21" ht="15.75" customHeight="1" s="45">
      <c r="A21" s="7" t="inlineStr">
        <is>
          <t>C. EVIDENCE PACK — 3 tài sản bán hàng</t>
        </is>
      </c>
      <c r="B21" s="10" t="n"/>
      <c r="C21" s="10" t="n"/>
      <c r="D21" s="10" t="n"/>
      <c r="E21" s="10" t="n"/>
      <c r="F21" s="10" t="n"/>
      <c r="G21" s="10" t="n"/>
      <c r="H21" s="10" t="n"/>
    </row>
    <row r="22" ht="15.75" customHeight="1" s="45">
      <c r="A22" s="27" t="inlineStr">
        <is>
          <t>Tài sản</t>
        </is>
      </c>
      <c r="B22" s="27" t="inlineStr">
        <is>
          <t>Đã có? (Rồi/Chưa)</t>
        </is>
      </c>
      <c r="C22" s="27" t="inlineStr">
        <is>
          <t>Nội dung 1 câu — hoặc việc cần làm</t>
        </is>
      </c>
      <c r="D22" s="27" t="inlineStr">
        <is>
          <t>Người phụ trách · Deadline</t>
        </is>
      </c>
    </row>
    <row r="23" ht="33.75" customHeight="1" s="45">
      <c r="A23" s="14" t="inlineStr">
        <is>
          <t xml:space="preserve">1. Eval Results </t>
        </is>
      </c>
      <c r="B23" s="41" t="inlineStr">
        <is>
          <t>Rồi</t>
        </is>
      </c>
      <c r="C23" s="41" t="inlineStr">
        <is>
          <t>Xử lý đúng 94.2% trên bộ test 500 kịch bản CSKH e-commerce; 5.8% còn lại chuyển cho nhân viên thật</t>
        </is>
      </c>
      <c r="D23" s="41" t="inlineStr">
        <is>
          <t>Oanh Oanh · 15/10/2026</t>
        </is>
      </c>
    </row>
    <row r="24" ht="33.75" customHeight="1" s="45">
      <c r="A24" s="14" t="inlineStr">
        <is>
          <t xml:space="preserve">2. Risk Checklist </t>
        </is>
      </c>
      <c r="B24" s="41" t="inlineStr">
        <is>
          <t>Rồi</t>
        </is>
      </c>
      <c r="C24" s="41" t="inlineStr">
        <is>
          <t>Đã hoàn thiện document 3 câu hỏi Procurement: Data không dùng train model, mã hóa TLS 1.3/AES-256, cam kết export data trong 30 ngày</t>
        </is>
      </c>
      <c r="D24" s="41" t="inlineStr">
        <is>
          <t>Oanh Oanh · 18/10/2026</t>
        </is>
      </c>
    </row>
    <row r="25" ht="33.75" customHeight="1" s="45">
      <c r="A25" s="14" t="inlineStr">
        <is>
          <t>3. Pilot Report</t>
        </is>
      </c>
      <c r="B25" s="41" t="inlineStr">
        <is>
          <t>Rồi</t>
        </is>
      </c>
      <c r="C25" s="41" t="inlineStr">
        <is>
          <t>Pilot 2 tuần tại 3 shop Haravan: 1.200 tickets, Containment 82%, thời gian phản hồi từ 15 phút giảm xuống 3 giây, tiết kiệm 18.5tr/tháng</t>
        </is>
      </c>
      <c r="D25" s="41" t="inlineStr">
        <is>
          <t>Oanh Oanh · 20/10/2026</t>
        </is>
      </c>
    </row>
    <row r="26" ht="15.75" customHeight="1" s="45">
      <c r="A26" s="17" t="inlineStr">
        <is>
          <t>Ô nào CHƯA CÓ thì ghi deadline — đừng bỏ trống. Thành thật về khoảng trống được điểm cao hơn bịa nội dung.</t>
        </is>
      </c>
    </row>
    <row r="27" ht="15.75" customHeight="1" s="45"/>
    <row r="28" ht="15.75" customHeight="1" s="45">
      <c r="A28" s="7" t="inlineStr">
        <is>
          <t>D. BÀI TEST NGƯỜI LẠ — nhóm khác đọc One-Pager trong 2 phút</t>
        </is>
      </c>
      <c r="B28" s="10" t="n"/>
      <c r="C28" s="10" t="n"/>
      <c r="D28" s="10" t="n"/>
      <c r="E28" s="10" t="n"/>
      <c r="F28" s="10" t="n"/>
      <c r="G28" s="10" t="n"/>
      <c r="H28" s="10" t="n"/>
    </row>
    <row r="29" ht="15.75" customHeight="1" s="45">
      <c r="A29" s="14" t="inlineStr">
        <is>
          <t>Họ trả lời được: bán gì, cho ai, tính tiền theo đơn vị nào? (Được/Không)</t>
        </is>
      </c>
      <c r="B29" s="5" t="inlineStr">
        <is>
          <t>Được</t>
        </is>
      </c>
    </row>
    <row r="30" ht="15.75" customHeight="1" s="45">
      <c r="A30" s="14" t="inlineStr">
        <is>
          <t>Họ trả lời được: có lãi trên mỗi đơn vị không, số nào chứng minh? (Được/Không)</t>
        </is>
      </c>
      <c r="B30" s="5" t="inlineStr">
        <is>
          <t>Được</t>
        </is>
      </c>
    </row>
    <row r="31" ht="15.75" customHeight="1" s="45">
      <c r="A31" s="14" t="inlineStr">
        <is>
          <t>Họ trả lời được: tiếp cận khách qua đâu, vì sao kênh đó? (Được/Không)</t>
        </is>
      </c>
      <c r="B31" s="5" t="inlineStr">
        <is>
          <t>Được</t>
        </is>
      </c>
    </row>
    <row r="32" ht="15.75" customHeight="1" s="45">
      <c r="A32" s="14" t="inlineStr">
        <is>
          <t>Số câu họ phải hỏi lại (mục tiêu ≤ 3)</t>
        </is>
      </c>
      <c r="B32" s="5" t="n">
        <v>1</v>
      </c>
    </row>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ColWidth="14.43" defaultRowHeight="15" customHeight="1"/>
  <cols>
    <col width="26" customWidth="1" style="45" min="1" max="1"/>
    <col width="30" customWidth="1" style="45" min="2" max="2"/>
    <col width="20" customWidth="1" style="45" min="3" max="3"/>
    <col width="16" customWidth="1" style="45" min="4" max="4"/>
    <col width="56" customWidth="1" style="45" min="5" max="5"/>
    <col width="15" customWidth="1" style="45" min="6" max="8"/>
    <col width="8.710000000000001" customWidth="1" style="45" min="9" max="26"/>
  </cols>
  <sheetData>
    <row r="1" ht="24" customHeight="1" s="45">
      <c r="A1" s="1" t="inlineStr">
        <is>
          <t>TAB 6 — BENCHMARKS (CHỈ ĐỌC)</t>
        </is>
      </c>
      <c r="B1" s="2" t="n"/>
      <c r="C1" s="2" t="n"/>
      <c r="D1" s="2" t="n"/>
      <c r="E1" s="2" t="n"/>
      <c r="F1" s="2" t="n"/>
      <c r="G1" s="2" t="n"/>
      <c r="H1" s="2" t="n"/>
    </row>
    <row r="2">
      <c r="A2" s="17" t="inlineStr">
        <is>
          <t>Giá chốt ngày 26/08/2026. Dòng có ⏳ là GIÁ KHUYẾN MẠI CÓ HẠN — phải kiểm tra lại.</t>
        </is>
      </c>
    </row>
    <row r="3">
      <c r="A3" s="14" t="inlineStr">
        <is>
          <t>NGÀY BẠN KIỂM TRA LẠI GIÁ</t>
        </is>
      </c>
      <c r="B3" s="5" t="inlineStr">
        <is>
          <t>22/10/2026</t>
        </is>
      </c>
      <c r="D3" s="17" t="inlineStr">
        <is>
          <t>Bắt buộc điền — Rubric có chấm mục này</t>
        </is>
      </c>
    </row>
    <row r="5">
      <c r="A5" s="42" t="inlineStr">
        <is>
          <t>Nhóm</t>
        </is>
      </c>
      <c r="B5" s="42" t="inlineStr">
        <is>
          <t>Mục</t>
        </is>
      </c>
      <c r="C5" s="42" t="inlineStr">
        <is>
          <t>Giá</t>
        </is>
      </c>
      <c r="D5" s="42" t="inlineStr">
        <is>
          <t>Đơn vị</t>
        </is>
      </c>
      <c r="E5" s="42" t="inlineStr">
        <is>
          <t>Nguồn</t>
        </is>
      </c>
    </row>
    <row r="6">
      <c r="A6" s="43" t="inlineStr">
        <is>
          <t>LLM</t>
        </is>
      </c>
      <c r="B6" s="43" t="inlineStr">
        <is>
          <t>Claude Opus 5 — input / output</t>
        </is>
      </c>
      <c r="C6" s="43" t="inlineStr">
        <is>
          <t>5,00 / 25,00</t>
        </is>
      </c>
      <c r="D6" s="43" t="inlineStr">
        <is>
          <t>$ / 1M token</t>
        </is>
      </c>
      <c r="E6" s="44" t="inlineStr">
        <is>
          <t>platform.claude.com/docs/en/about-claude/pricing</t>
        </is>
      </c>
    </row>
    <row r="7">
      <c r="A7" s="43" t="inlineStr">
        <is>
          <t>LLM</t>
        </is>
      </c>
      <c r="B7" s="43" t="inlineStr">
        <is>
          <t>Claude Sonnet 5 — input / output</t>
        </is>
      </c>
      <c r="C7" s="43" t="inlineStr">
        <is>
          <t>2,00 / 10,00</t>
        </is>
      </c>
      <c r="D7" s="43" t="inlineStr">
        <is>
          <t>$ / 1M token</t>
        </is>
      </c>
      <c r="E7" s="44" t="inlineStr">
        <is>
          <t>platform.claude.com/docs/en/about-claude/pricing</t>
        </is>
      </c>
    </row>
    <row r="8">
      <c r="A8" s="43" t="inlineStr">
        <is>
          <t>LLM</t>
        </is>
      </c>
      <c r="B8" s="43" t="inlineStr">
        <is>
          <t>Claude Haiku 4.5 — input / output</t>
        </is>
      </c>
      <c r="C8" s="43" t="inlineStr">
        <is>
          <t>1,00 / 5,00</t>
        </is>
      </c>
      <c r="D8" s="43" t="inlineStr">
        <is>
          <t>$ / 1M token</t>
        </is>
      </c>
      <c r="E8" s="44" t="inlineStr">
        <is>
          <t>platform.claude.com/docs/en/about-claude/pricing</t>
        </is>
      </c>
    </row>
    <row r="9">
      <c r="A9" s="43" t="inlineStr">
        <is>
          <t>LLM</t>
        </is>
      </c>
      <c r="B9" s="43" t="inlineStr">
        <is>
          <t>Claude — cache write 5' / cache read</t>
        </is>
      </c>
      <c r="C9" s="43" t="inlineStr">
        <is>
          <t>1,25× / 0,10× input</t>
        </is>
      </c>
      <c r="D9" s="43" t="inlineStr">
        <is>
          <t>hệ số</t>
        </is>
      </c>
      <c r="E9" s="44" t="inlineStr">
        <is>
          <t>platform.claude.com/docs/en/about-claude/pricing</t>
        </is>
      </c>
    </row>
    <row r="10">
      <c r="A10" s="43" t="inlineStr">
        <is>
          <t>LLM</t>
        </is>
      </c>
      <c r="B10" s="43" t="inlineStr">
        <is>
          <t>⏳ OpenAI GPT-5.6 Sol — input / output</t>
        </is>
      </c>
      <c r="C10" s="43" t="inlineStr">
        <is>
          <t>4,00 / 20,00</t>
        </is>
      </c>
      <c r="D10" s="43" t="inlineStr">
        <is>
          <t>$ / 1M token</t>
        </is>
      </c>
      <c r="E10" s="44" t="inlineStr">
        <is>
          <t>developers.openai.com/api/docs/pricing (KM 21/08–21/11/2026; list 5,00/30,00)</t>
        </is>
      </c>
    </row>
    <row r="11">
      <c r="A11" s="43" t="inlineStr">
        <is>
          <t>LLM</t>
        </is>
      </c>
      <c r="B11" s="43" t="inlineStr">
        <is>
          <t>OpenAI GPT-5.6 Luna — input / output</t>
        </is>
      </c>
      <c r="C11" s="43" t="inlineStr">
        <is>
          <t>0,20 / 1,20</t>
        </is>
      </c>
      <c r="D11" s="43" t="inlineStr">
        <is>
          <t>$ / 1M token</t>
        </is>
      </c>
      <c r="E11" s="44" t="inlineStr">
        <is>
          <t>developers.openai.com/api/docs/pricing</t>
        </is>
      </c>
    </row>
    <row r="12">
      <c r="A12" s="43" t="inlineStr">
        <is>
          <t>LLM</t>
        </is>
      </c>
      <c r="B12" s="43" t="inlineStr">
        <is>
          <t>OpenAI — cached input / Batch API</t>
        </is>
      </c>
      <c r="C12" s="43" t="inlineStr">
        <is>
          <t>10% input / −50%</t>
        </is>
      </c>
      <c r="D12" s="43" t="inlineStr">
        <is>
          <t>hệ số</t>
        </is>
      </c>
      <c r="E12" s="44" t="inlineStr">
        <is>
          <t>developers.openai.com/api/docs/pricing</t>
        </is>
      </c>
    </row>
    <row r="13">
      <c r="A13" s="43" t="inlineStr">
        <is>
          <t>LLM</t>
        </is>
      </c>
      <c r="B13" s="43" t="inlineStr">
        <is>
          <t>Gemini 3.1 Pro — input / output (≤200k)</t>
        </is>
      </c>
      <c r="C13" s="43" t="inlineStr">
        <is>
          <t>2,00 / 12,00</t>
        </is>
      </c>
      <c r="D13" s="43" t="inlineStr">
        <is>
          <t>$ / 1M token</t>
        </is>
      </c>
      <c r="E13" s="44" t="inlineStr">
        <is>
          <t>ai.google.dev/gemini-api/docs/pricing</t>
        </is>
      </c>
    </row>
    <row r="14">
      <c r="A14" s="43" t="inlineStr">
        <is>
          <t>LLM</t>
        </is>
      </c>
      <c r="B14" s="43" t="inlineStr">
        <is>
          <t>⏳ Gemini 3.7 Flash — input / output</t>
        </is>
      </c>
      <c r="C14" s="43" t="inlineStr">
        <is>
          <t>0,75 / 3,75</t>
        </is>
      </c>
      <c r="D14" s="43" t="inlineStr">
        <is>
          <t>$ / 1M token</t>
        </is>
      </c>
      <c r="E14" s="44" t="inlineStr">
        <is>
          <t>ai.google.dev/gemini-api/docs/pricing (KM đến 31/12/2026; sau đó 1,50/7,50)</t>
        </is>
      </c>
    </row>
    <row r="15">
      <c r="A15" s="43" t="inlineStr">
        <is>
          <t>STT</t>
        </is>
      </c>
      <c r="B15" s="43" t="inlineStr">
        <is>
          <t>Deepgram Nova-3 — pre-recorded</t>
        </is>
      </c>
      <c r="C15" s="43" t="inlineStr">
        <is>
          <t>0,0043</t>
        </is>
      </c>
      <c r="D15" s="43" t="inlineStr">
        <is>
          <t>$ / phút</t>
        </is>
      </c>
      <c r="E15" s="44" t="inlineStr">
        <is>
          <t>deepgram.com/pricing</t>
        </is>
      </c>
    </row>
    <row r="16">
      <c r="A16" s="43" t="inlineStr">
        <is>
          <t>STT</t>
        </is>
      </c>
      <c r="B16" s="43" t="inlineStr">
        <is>
          <t>⏳ Deepgram Nova-3 — streaming</t>
        </is>
      </c>
      <c r="C16" s="43" t="inlineStr">
        <is>
          <t>list 0,0077 · KM 0,0048</t>
        </is>
      </c>
      <c r="D16" s="43" t="inlineStr">
        <is>
          <t>$ / phút</t>
        </is>
      </c>
      <c r="E16" s="44" t="inlineStr">
        <is>
          <t>deepgram.com/pricing — đang khuyến mại, kiểm tra lại</t>
        </is>
      </c>
    </row>
    <row r="17">
      <c r="A17" s="43" t="inlineStr">
        <is>
          <t>STT</t>
        </is>
      </c>
      <c r="B17" s="43" t="inlineStr">
        <is>
          <t>AssemblyAI Universal-2 — async</t>
        </is>
      </c>
      <c r="C17" s="43" t="inlineStr">
        <is>
          <t>0,0025</t>
        </is>
      </c>
      <c r="D17" s="43" t="inlineStr">
        <is>
          <t>$ / phút</t>
        </is>
      </c>
      <c r="E17" s="44" t="inlineStr">
        <is>
          <t>assemblyai.com/pricing</t>
        </is>
      </c>
    </row>
    <row r="18">
      <c r="A18" s="43" t="inlineStr">
        <is>
          <t>STT</t>
        </is>
      </c>
      <c r="B18" s="43" t="inlineStr">
        <is>
          <t>OpenAI gpt-4o-mini-transcribe</t>
        </is>
      </c>
      <c r="C18" s="43" t="inlineStr">
        <is>
          <t>0,0030</t>
        </is>
      </c>
      <c r="D18" s="43" t="inlineStr">
        <is>
          <t>$ / phút</t>
        </is>
      </c>
      <c r="E18" s="44" t="inlineStr">
        <is>
          <t>developers.openai.com/api/docs/pricing</t>
        </is>
      </c>
    </row>
    <row r="19">
      <c r="A19" s="43" t="inlineStr">
        <is>
          <t>TTS</t>
        </is>
      </c>
      <c r="B19" s="43" t="inlineStr">
        <is>
          <t>Google Cloud TTS — Standard</t>
        </is>
      </c>
      <c r="C19" s="43" t="inlineStr">
        <is>
          <t>4,00</t>
        </is>
      </c>
      <c r="D19" s="43" t="inlineStr">
        <is>
          <t>$ / 1M ký tự</t>
        </is>
      </c>
      <c r="E19" s="44" t="inlineStr">
        <is>
          <t>cloud.google.com/text-to-speech/pricing (rẻ nhất)</t>
        </is>
      </c>
    </row>
    <row r="20">
      <c r="A20" s="43" t="inlineStr">
        <is>
          <t>TTS</t>
        </is>
      </c>
      <c r="B20" s="43" t="inlineStr">
        <is>
          <t>OpenAI tts-1</t>
        </is>
      </c>
      <c r="C20" s="43" t="inlineStr">
        <is>
          <t>15,00</t>
        </is>
      </c>
      <c r="D20" s="43" t="inlineStr">
        <is>
          <t>$ / 1M ký tự</t>
        </is>
      </c>
      <c r="E20" s="44" t="inlineStr">
        <is>
          <t>developers.openai.com/api/docs/pricing</t>
        </is>
      </c>
    </row>
    <row r="21" ht="15.75" customHeight="1" s="45">
      <c r="A21" s="43" t="inlineStr">
        <is>
          <t>TTS</t>
        </is>
      </c>
      <c r="B21" s="43" t="inlineStr">
        <is>
          <t>ElevenLabs Flash / Turbo</t>
        </is>
      </c>
      <c r="C21" s="43" t="inlineStr">
        <is>
          <t>50,00</t>
        </is>
      </c>
      <c r="D21" s="43" t="inlineStr">
        <is>
          <t>$ / 1M ký tự</t>
        </is>
      </c>
      <c r="E21" s="44" t="inlineStr">
        <is>
          <t>elevenlabs.io/pricing/api</t>
        </is>
      </c>
    </row>
    <row r="22" ht="15.75" customHeight="1" s="45">
      <c r="A22" s="43" t="inlineStr">
        <is>
          <t>TTS</t>
        </is>
      </c>
      <c r="B22" s="43" t="inlineStr">
        <is>
          <t>ElevenLabs v3 / v2 Multilingual</t>
        </is>
      </c>
      <c r="C22" s="43" t="inlineStr">
        <is>
          <t>100,00</t>
        </is>
      </c>
      <c r="D22" s="43" t="inlineStr">
        <is>
          <t>$ / 1M ký tự</t>
        </is>
      </c>
      <c r="E22" s="44" t="inlineStr">
        <is>
          <t>elevenlabs.io/pricing/api</t>
        </is>
      </c>
    </row>
    <row r="23" ht="15.75" customHeight="1" s="45">
      <c r="A23" s="43" t="inlineStr">
        <is>
          <t>Quy đổi</t>
        </is>
      </c>
      <c r="B23" s="43" t="inlineStr">
        <is>
          <t>Tốc độ nói</t>
        </is>
      </c>
      <c r="C23" s="43" t="inlineStr">
        <is>
          <t>≈ 900</t>
        </is>
      </c>
      <c r="D23" s="43" t="inlineStr">
        <is>
          <t>ký tự / phút</t>
        </is>
      </c>
      <c r="E23" s="44" t="inlineStr">
        <is>
          <t>≈150 từ/phút — dùng để đổi phút ↔ ký tự</t>
        </is>
      </c>
    </row>
    <row r="24" ht="15.75" customHeight="1" s="45">
      <c r="A24" s="43" t="inlineStr">
        <is>
          <t>Lưu ý</t>
        </is>
      </c>
      <c r="B24" s="43" t="inlineStr">
        <is>
          <t>Google TTS — ký tự CJK</t>
        </is>
      </c>
      <c r="C24" s="43" t="inlineStr">
        <is>
          <t>tính là 1 ký tự</t>
        </is>
      </c>
      <c r="D24" s="43" t="inlineStr">
        <is>
          <t>—</t>
        </is>
      </c>
      <c r="E24" s="44" t="inlineStr">
        <is>
          <t>cloud.google.com/text-to-speech/pricing (KHÔNG phải ×2)</t>
        </is>
      </c>
    </row>
    <row r="25" ht="15.75" customHeight="1" s="45">
      <c r="A25" s="43" t="inlineStr">
        <is>
          <t>Lưu ý</t>
        </is>
      </c>
      <c r="B25" s="43" t="inlineStr">
        <is>
          <t>Google STT — tính theo kênh</t>
        </is>
      </c>
      <c r="C25" s="43" t="inlineStr">
        <is>
          <t>4 kênh × 120s = 480s</t>
        </is>
      </c>
      <c r="D25" s="43" t="inlineStr">
        <is>
          <t>—</t>
        </is>
      </c>
      <c r="E25" s="44" t="inlineStr">
        <is>
          <t>cloud.google.com/speech-to-text/pricing</t>
        </is>
      </c>
    </row>
    <row r="26" ht="15.75" customHeight="1" s="45">
      <c r="A26" s="43" t="inlineStr">
        <is>
          <t>Lưu ý</t>
        </is>
      </c>
      <c r="B26" s="43" t="inlineStr">
        <is>
          <t>Streaming vs async STT</t>
        </is>
      </c>
      <c r="C26" s="43" t="inlineStr">
        <is>
          <t>1× đến ~5×</t>
        </is>
      </c>
      <c r="D26" s="43" t="inlineStr">
        <is>
          <t>hệ số</t>
        </is>
      </c>
      <c r="E26" s="44" t="inlineStr">
        <is>
          <t>Tuỳ nhà cung cấp — AssemblyAI 1,0× · Google ~5×. Đừng dùng hệ số chung</t>
        </is>
      </c>
    </row>
    <row r="27" ht="15.75" customHeight="1" s="45">
      <c r="A27" s="43" t="inlineStr">
        <is>
          <t>Sản phẩm</t>
        </is>
      </c>
      <c r="B27" s="43" t="inlineStr">
        <is>
          <t>Intercom Fin — resolution</t>
        </is>
      </c>
      <c r="C27" s="43" t="inlineStr">
        <is>
          <t>0,99</t>
        </is>
      </c>
      <c r="D27" s="43" t="inlineStr">
        <is>
          <t>$ / outcome</t>
        </is>
      </c>
      <c r="E27" s="44" t="inlineStr">
        <is>
          <t>fin.ai/pricing</t>
        </is>
      </c>
    </row>
    <row r="28" ht="15.75" customHeight="1" s="45">
      <c r="A28" s="43" t="inlineStr">
        <is>
          <t>Sản phẩm</t>
        </is>
      </c>
      <c r="B28" s="43" t="inlineStr">
        <is>
          <t>Intercom Fin — qualification (sales)</t>
        </is>
      </c>
      <c r="C28" s="43" t="inlineStr">
        <is>
          <t>9,99</t>
        </is>
      </c>
      <c r="D28" s="43" t="inlineStr">
        <is>
          <t>$ / outcome</t>
        </is>
      </c>
      <c r="E28" s="44" t="inlineStr">
        <is>
          <t>fin.ai/pricing</t>
        </is>
      </c>
    </row>
    <row r="29" ht="15.75" customHeight="1" s="45">
      <c r="A29" s="43" t="inlineStr">
        <is>
          <t>Sản phẩm</t>
        </is>
      </c>
      <c r="B29" s="43" t="inlineStr">
        <is>
          <t>Zendesk — automated resolution</t>
        </is>
      </c>
      <c r="C29" s="43" t="inlineStr">
        <is>
          <t>1,50</t>
        </is>
      </c>
      <c r="D29" s="43" t="inlineStr">
        <is>
          <t>$ / resolution</t>
        </is>
      </c>
      <c r="E29" s="44" t="inlineStr">
        <is>
          <t>zendesk.com/blog/ai/agentic-ai/outcome-based-pricing/ (blog, không trên trang giá)</t>
        </is>
      </c>
    </row>
    <row r="30" ht="15.75" customHeight="1" s="45">
      <c r="A30" s="43" t="inlineStr">
        <is>
          <t>Sản phẩm</t>
        </is>
      </c>
      <c r="B30" s="43" t="inlineStr">
        <is>
          <t>Salesforce Agentforce — Flex Credit</t>
        </is>
      </c>
      <c r="C30" s="43" t="inlineStr">
        <is>
          <t>0,005 (action = 0,10)</t>
        </is>
      </c>
      <c r="D30" s="43" t="inlineStr">
        <is>
          <t>$ / credit</t>
        </is>
      </c>
      <c r="E30" s="44" t="inlineStr">
        <is>
          <t>salesforce.com/agentforce/pricing</t>
        </is>
      </c>
    </row>
    <row r="31" ht="15.75" customHeight="1" s="45">
      <c r="A31" s="43" t="inlineStr">
        <is>
          <t>Sản phẩm</t>
        </is>
      </c>
      <c r="B31" s="43" t="inlineStr">
        <is>
          <t>Salesforce Agentforce — conversation</t>
        </is>
      </c>
      <c r="C31" s="43" t="inlineStr">
        <is>
          <t>2,00</t>
        </is>
      </c>
      <c r="D31" s="43" t="inlineStr">
        <is>
          <t>$ / conversation</t>
        </is>
      </c>
      <c r="E31" s="44" t="inlineStr">
        <is>
          <t>salesforce.com/agentforce/pricing</t>
        </is>
      </c>
    </row>
    <row r="32" ht="15.75" customHeight="1" s="45">
      <c r="A32" s="43" t="inlineStr">
        <is>
          <t>Sản phẩm</t>
        </is>
      </c>
      <c r="B32" s="43" t="inlineStr">
        <is>
          <t>GitHub Copilot — AI Credit</t>
        </is>
      </c>
      <c r="C32" s="43" t="inlineStr">
        <is>
          <t>0,01</t>
        </is>
      </c>
      <c r="D32" s="43" t="inlineStr">
        <is>
          <t>$ / credit</t>
        </is>
      </c>
      <c r="E32" s="44" t="inlineStr">
        <is>
          <t>docs.github.com/en/copilot/get-started/plans</t>
        </is>
      </c>
    </row>
    <row r="33" ht="15.75" customHeight="1" s="45">
      <c r="A33" s="43" t="inlineStr">
        <is>
          <t>Sản phẩm</t>
        </is>
      </c>
      <c r="B33" s="43" t="inlineStr">
        <is>
          <t>GitHub Copilot Business / Enterprise</t>
        </is>
      </c>
      <c r="C33" s="43" t="inlineStr">
        <is>
          <t>19 / 39</t>
        </is>
      </c>
      <c r="D33" s="43" t="inlineStr">
        <is>
          <t>$ / seat / tháng</t>
        </is>
      </c>
      <c r="E33" s="44" t="inlineStr">
        <is>
          <t>docs.github.com/en/copilot/get-started/plans</t>
        </is>
      </c>
    </row>
    <row r="34" ht="15.75" customHeight="1" s="45">
      <c r="A34" s="43" t="inlineStr">
        <is>
          <t>Sản phẩm</t>
        </is>
      </c>
      <c r="B34" s="43" t="inlineStr">
        <is>
          <t>Notion — Business / credits</t>
        </is>
      </c>
      <c r="C34" s="43" t="inlineStr">
        <is>
          <t>20 / 10 per 1.000</t>
        </is>
      </c>
      <c r="D34" s="43" t="inlineStr">
        <is>
          <t>$ / member / tháng</t>
        </is>
      </c>
      <c r="E34" s="44" t="inlineStr">
        <is>
          <t>notion.com/pricing</t>
        </is>
      </c>
    </row>
    <row r="35" ht="15.75" customHeight="1" s="45">
      <c r="A35" s="43" t="inlineStr">
        <is>
          <t>Benchmark</t>
        </is>
      </c>
      <c r="B35" s="43" t="inlineStr">
        <is>
          <t>Gross Margin AI-native 2026E</t>
        </is>
      </c>
      <c r="C35" s="43" t="inlineStr">
        <is>
          <t>≈ 53%</t>
        </is>
      </c>
      <c r="D35" s="43" t="inlineStr">
        <is>
          <t>%</t>
        </is>
      </c>
      <c r="E35" s="44" t="inlineStr">
        <is>
          <t>ICONIQ, 2026 State of AI: The Builder's Economy (07/2026)</t>
        </is>
      </c>
    </row>
    <row r="36" ht="15.75" customHeight="1" s="45">
      <c r="A36" s="43" t="inlineStr">
        <is>
          <t>Benchmark</t>
        </is>
      </c>
      <c r="B36" s="43" t="inlineStr">
        <is>
          <t>Gross Margin cloud (middle 50%)</t>
        </is>
      </c>
      <c r="C36" s="43" t="inlineStr">
        <is>
          <t>60 – 80%</t>
        </is>
      </c>
      <c r="D36" s="43" t="inlineStr">
        <is>
          <t>%</t>
        </is>
      </c>
      <c r="E36" s="44" t="inlineStr">
        <is>
          <t>Bessemer, Scaling to $100 Million (2024)</t>
        </is>
      </c>
    </row>
    <row r="37" ht="15.75" customHeight="1" s="45">
      <c r="A37" s="43" t="inlineStr">
        <is>
          <t>Benchmark</t>
        </is>
      </c>
      <c r="B37" s="43" t="inlineStr">
        <is>
          <t>Vertical AI — GM / model cost</t>
        </is>
      </c>
      <c r="C37" s="43" t="inlineStr">
        <is>
          <t>≈65% / ≈10% doanh thu</t>
        </is>
      </c>
      <c r="D37" s="43" t="inlineStr">
        <is>
          <t>%</t>
        </is>
      </c>
      <c r="E37" s="44" t="inlineStr">
        <is>
          <t>Bessemer, State of the Cloud 2024</t>
        </is>
      </c>
    </row>
    <row r="38" ht="15.75" customHeight="1" s="45">
      <c r="A38" s="43" t="inlineStr">
        <is>
          <t>Benchmark</t>
        </is>
      </c>
      <c r="B38" s="43" t="inlineStr">
        <is>
          <t>CAC payback SMB / Mid / Enterprise</t>
        </is>
      </c>
      <c r="C38" s="43" t="inlineStr">
        <is>
          <t>12 / 18 / 24</t>
        </is>
      </c>
      <c r="D38" s="43" t="inlineStr">
        <is>
          <t>tháng</t>
        </is>
      </c>
      <c r="E38" s="44" t="inlineStr">
        <is>
          <t>Bessemer, Scaling to $100 Million (2024)</t>
        </is>
      </c>
    </row>
    <row r="39" ht="15.75" customHeight="1" s="45">
      <c r="A39" s="43" t="inlineStr">
        <is>
          <t>Benchmark</t>
        </is>
      </c>
      <c r="B39" s="43" t="inlineStr">
        <is>
          <t>LTV : CAC</t>
        </is>
      </c>
      <c r="C39" s="43" t="inlineStr">
        <is>
          <t>≥ 3×</t>
        </is>
      </c>
      <c r="D39" s="43" t="inlineStr">
        <is>
          <t>lần</t>
        </is>
      </c>
      <c r="E39" s="44" t="inlineStr">
        <is>
          <t>David Skok, SaaS Metrics 2.0 (cập nhật 06/2026)</t>
        </is>
      </c>
    </row>
    <row r="40" ht="15.75" customHeight="1" s="45">
      <c r="A40" s="43" t="inlineStr">
        <is>
          <t>Benchmark</t>
        </is>
      </c>
      <c r="B40" s="43" t="inlineStr">
        <is>
          <t>Cost per opportunity 2026 (theo phân khúc)</t>
        </is>
      </c>
      <c r="C40" s="43" t="inlineStr">
        <is>
          <t>6.300 · 8.000 · 11.200</t>
        </is>
      </c>
      <c r="D40" s="43" t="inlineStr">
        <is>
          <t>$</t>
        </is>
      </c>
      <c r="E40" s="44" t="inlineStr">
        <is>
          <t>ICONIQ, State of GTM 2026 (tr.22)</t>
        </is>
      </c>
    </row>
    <row r="41" ht="15.75" customHeight="1" s="45">
      <c r="A41" s="43" t="inlineStr">
        <is>
          <t>Benchmark</t>
        </is>
      </c>
      <c r="B41" s="43" t="inlineStr">
        <is>
          <t>ACV sàn cho inside sales</t>
        </is>
      </c>
      <c r="C41" s="43" t="inlineStr">
        <is>
          <t>≈ 3.000</t>
        </is>
      </c>
      <c r="D41" s="43" t="inlineStr">
        <is>
          <t>$ / năm</t>
        </is>
      </c>
      <c r="E41" s="44" t="inlineStr">
        <is>
          <t>Tomasz Tunguz (2016) — có kèm giả định để tính lại</t>
        </is>
      </c>
    </row>
    <row r="42" ht="15.75" customHeight="1" s="45"/>
    <row r="43" ht="15.75" customHeight="1" s="45">
      <c r="A43" s="17" t="inlineStr">
        <is>
          <t>Lưu ý: trang marketing của nhà cung cấp có thể hiển thị giá cũ hơn trang docs. Ưu tiên trang docs / pricing chính thức.</t>
        </is>
      </c>
    </row>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2026-08-26T15:07:08Z</dcterms:created>
  <dcterms:modified xmlns:dcterms="http://purl.org/dc/terms/" xmlns:xsi="http://www.w3.org/2001/XMLSchema-instance" xsi:type="dcterms:W3CDTF">2026-10-22T14:07:49Z</dcterms:modified>
</cp:coreProperties>
</file>